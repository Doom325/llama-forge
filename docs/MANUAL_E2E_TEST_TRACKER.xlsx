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ad Me" sheetId="2" state="visible" r:id="rId4"/>
    <sheet name="Test Tracker" sheetId="3" state="visible" r:id="rId5"/>
  </sheets>
  <definedNames>
    <definedName function="false" hidden="true" localSheetId="2" name="_xlnm._FilterDatabase" vbProcedure="false">'Test Tracker'!$A$1:$I$115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<sst xmlns="http://schemas.openxmlformats.org/spreadsheetml/2006/main" count="1017" uniqueCount="548">
  <si>
    <t xml:space="preserve">LlamaForge Manual E2E — Live Summary</t>
  </si>
  <si>
    <t xml:space="preserve">Counts update automatically from the Test Tracker Status column.</t>
  </si>
  <si>
    <t xml:space="preserve">Phase</t>
  </si>
  <si>
    <t xml:space="preserve">Area</t>
  </si>
  <si>
    <t xml:space="preserve"># Tests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</si>
  <si>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</si>
  <si>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</si>
  <si>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</si>
  <si>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</si>
  <si>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</si>
  <si>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Complete</t>
  </si>
  <si>
    <t xml:space="preserve">BLD</t>
  </si>
  <si>
    <t xml:space="preserve">Build &amp; artifacts</t>
  </si>
  <si>
    <t xml:space="preserve">A</t>
  </si>
  <si>
    <t xml:space="preserve">Installation &amp; CLI</t>
  </si>
  <si>
    <t xml:space="preserve">B</t>
  </si>
  <si>
    <t xml:space="preserve">Configuration</t>
  </si>
  <si>
    <t xml:space="preserve">C</t>
  </si>
  <si>
    <t xml:space="preserve">Launch &amp; lifecycle</t>
  </si>
  <si>
    <t xml:space="preserve">D</t>
  </si>
  <si>
    <t xml:space="preserve">OpenAI HTTP API</t>
  </si>
  <si>
    <t xml:space="preserve">E</t>
  </si>
  <si>
    <t xml:space="preserve">Anthropic HTTP API</t>
  </si>
  <si>
    <t xml:space="preserve">F</t>
  </si>
  <si>
    <t xml:space="preserve">gRPC core</t>
  </si>
  <si>
    <t xml:space="preserve">G</t>
  </si>
  <si>
    <t xml:space="preserve">Management API</t>
  </si>
  <si>
    <t xml:space="preserve">H</t>
  </si>
  <si>
    <t xml:space="preserve">Routing &amp; scheduling</t>
  </si>
  <si>
    <t xml:space="preserve">I</t>
  </si>
  <si>
    <t xml:space="preserve">Observability</t>
  </si>
  <si>
    <t xml:space="preserve">J</t>
  </si>
  <si>
    <t xml:space="preserve">Security &amp; auth</t>
  </si>
  <si>
    <t xml:space="preserve">K</t>
  </si>
  <si>
    <t xml:space="preserve">Failure &amp; chaos</t>
  </si>
  <si>
    <t xml:space="preserve">L</t>
  </si>
  <si>
    <t xml:space="preserve">Config hot-reload</t>
  </si>
  <si>
    <t xml:space="preserve">M</t>
  </si>
  <si>
    <t xml:space="preserve">Teardown &amp; maintenance</t>
  </si>
  <si>
    <t xml:space="preserve">TOTAL</t>
  </si>
  <si>
    <t xml:space="preserve">All phases</t>
  </si>
  <si>
    <t xml:space="preserve">Overall verdict:</t>
  </si>
  <si>
    <t xml:space="preserve">(Ship / Ship with caveats / Hold)</t>
  </si>
  <si>
    <t xml:space="preserve">Tester:</t>
  </si>
  <si>
    <t xml:space="preserve">Run date:</t>
  </si>
  <si>
    <t xml:space="preserve">Build SHA:</t>
  </si>
  <si>
    <t xml:space="preserve">LlamaForge — Manual E2E Test Tracker</t>
  </si>
  <si>
    <t xml:space="preserve">Build v0.1.0-draft  |  Primary: Linux (Fedora/Bazzite) on Strix Halo + Vulkan llama.cpp  |  Then: macOS (Metal)</t>
  </si>
  <si>
    <t xml:space="preserve">How to use</t>
  </si>
  <si>
    <t xml:space="preserve">1.</t>
  </si>
  <si>
    <t xml:space="preserve">Work the 'Test Tracker' tab top-to-bottom. Phases BLD/A/C must pass before later phases are meaningful.</t>
  </si>
  <si>
    <t xml:space="preserve">2.</t>
  </si>
  <si>
    <t xml:space="preserve">Set the Status dropdown for each test: Not Run / Pass / Fail / Blocked / N/A. Cells colour automatically.</t>
  </si>
  <si>
    <t xml:space="preserve">3.</t>
  </si>
  <si>
    <t xml:space="preserve">Record what you actually saw in 'Observed Result / Notes'.</t>
  </si>
  <si>
    <t xml:space="preserve">4.</t>
  </si>
  <si>
    <t xml:space="preserve">The 'Summary' tab tallies live from the Status column (no manual counting).</t>
  </si>
  <si>
    <t xml:space="preserve">5.</t>
  </si>
  <si>
    <t xml:space="preserve">Companion narrative with full commands &amp; rationale: docs/MANUAL_E2E_TEST_PLAN.md</t>
  </si>
  <si>
    <t xml:space="preserve">Shell setup (run once)</t>
  </si>
  <si>
    <t xml:space="preserve">export HTTP=http://127.0.0.1:8000</t>
  </si>
  <si>
    <t xml:space="preserve">export GRPC=127.0.0.1:50051</t>
  </si>
  <si>
    <t xml:space="preserve">export CFG=$HOME/.config/llamaforge/llamaforge.toml</t>
  </si>
  <si>
    <t xml:space="preserve">export RULES=$HOME/.config/llamaforge/priority_rules.toml</t>
  </si>
  <si>
    <t xml:space="preserve">export LF=./target/release/llamaforge</t>
  </si>
  <si>
    <t xml:space="preserve">Strix Halo / Linux environment</t>
  </si>
  <si>
    <t xml:space="preserve">•</t>
  </si>
  <si>
    <t xml:space="preserve">Build needs the mold linker on PATH (x86_64 Linux). On Bazzite (atomic Fedora) build inside a toolbox/distrobox; install mold/protoc/grpcurl/jq/sqlite there.</t>
  </si>
  <si>
    <t xml:space="preserve">llama.cpp built with Vulkan (-DGGML_VULKAN=ON). Verify GPU with: vulkaninfo --summary and llama-server --list-devices (Radeon 8060S / gfx1151).</t>
  </si>
  <si>
    <t xml:space="preserve">Unified memory: no dedicated VRAM. gpu_layers=-1 offloads all layers; GPU uses the GTT heap from the 128 GB pool. estimated_vram_mb is a hint, not a cap. Watch free -h / amdgpu_top, not a discrete VRAM number.</t>
  </si>
  <si>
    <t xml:space="preserve">Default state dir: Linux ~/.local/state/llamaforge ($XDG_STATE_HOME); macOS ~/Library/Application Support/llamaforge. Config: ~/.config/llamaforge/.</t>
  </si>
  <si>
    <t xml:space="preserve">Signal tests (SIGTERM/SIGHUP in Phases K/L) work on Linux. They do NOT apply on native Windows (only Ctrl-C); the binary also imports std::os::unix and likely won't build on native Windows.</t>
  </si>
  <si>
    <t xml:space="preserve">Priority key</t>
  </si>
  <si>
    <t xml:space="preserve">P0</t>
  </si>
  <si>
    <t xml:space="preserve">Blocker / smoke — must pass to proceed.</t>
  </si>
  <si>
    <t xml:space="preserve">P1</t>
  </si>
  <si>
    <t xml:space="preserve">Core functionality.</t>
  </si>
  <si>
    <t xml:space="preserve">P2</t>
  </si>
  <si>
    <t xml:space="preserve">Edge case / nice-to-have.</t>
  </si>
  <si>
    <t xml:space="preserve">Known v1.0 behaviors (expected — not bugs)</t>
  </si>
  <si>
    <t xml:space="preserve">Missing anthropic-version header is allowed (WARN + proceed) — ANT-03.</t>
  </si>
  <si>
    <t xml:space="preserve">Restart-required config edits are refused with 412 / FAILED_PRECONDITION — MGT-09, REL-02.</t>
  </si>
  <si>
    <t xml:space="preserve">Auth is global: /health and /metrics also require the key when api_key is set — SEC-04.</t>
  </si>
  <si>
    <t xml:space="preserve">HTTP requests attributed to requestor 'anonymous' / task 'default' (coarse metrics &amp; priority) — RT-05.</t>
  </si>
  <si>
    <t xml:space="preserve">gRPC reflection is a default-on dev feature; a no-default-features build would disable it — GRP-01.</t>
  </si>
  <si>
    <t xml:space="preserve">OpenAI non-streaming response now returns the full usage/finish_reason shape (older deferral is resolved) — OAI-02.</t>
  </si>
  <si>
    <t xml:space="preserve">Test ID</t>
  </si>
  <si>
    <t xml:space="preserve">Priority</t>
  </si>
  <si>
    <t xml:space="preserve">Objective</t>
  </si>
  <si>
    <t xml:space="preserve">Steps / Command</t>
  </si>
  <si>
    <t xml:space="preserve">Expected Result</t>
  </si>
  <si>
    <t xml:space="preserve">Status</t>
  </si>
  <si>
    <t xml:space="preserve">Observed Result / Notes</t>
  </si>
  <si>
    <t xml:space="preserve">BLD-01</t>
  </si>
  <si>
    <t xml:space="preserve">Workspace compiles</t>
  </si>
  <si>
    <t xml:space="preserve">cargo build --release (repo root)</t>
  </si>
  <si>
    <t xml:space="preserve">All 8 crates build with no errors. LINUX: mold must be on PATH (build forces -fuse-ld=mold for x86_64); on Bazzite build inside a toolbox/distrobox. -D warnings is set, so any warning fails the build.</t>
  </si>
  <si>
    <t xml:space="preserve">BLD-02</t>
  </si>
  <si>
    <t xml:space="preserve">Build mock-llama (chaos double)</t>
  </si>
  <si>
    <t xml:space="preserve">cargo build --bin mock-llama</t>
  </si>
  <si>
    <t xml:space="preserve">Produces target/debug/mock-llama. Supports --alias/--port/--parallel and health_fail_after= / startup_503_ms= knobs.</t>
  </si>
  <si>
    <t xml:space="preserve">BLD-03</t>
  </si>
  <si>
    <t xml:space="preserve">Orchestrator binary present</t>
  </si>
  <si>
    <t xml:space="preserve">ls -l target/release/llamaforge</t>
  </si>
  <si>
    <t xml:space="preserve">Executable exists.</t>
  </si>
  <si>
    <t xml:space="preserve">BLD-04</t>
  </si>
  <si>
    <t xml:space="preserve">Test suites (optional sanity)</t>
  </si>
  <si>
    <t xml:space="preserve">cargo test --workspace</t>
  </si>
  <si>
    <t xml:space="preserve">Unit/integration pass. e2e suite also needs protoc.</t>
  </si>
  <si>
    <t xml:space="preserve">CLI-01</t>
  </si>
  <si>
    <t xml:space="preserve">Help output</t>
  </si>
  <si>
    <t xml:space="preserve">$LF --help</t>
  </si>
  <si>
    <t xml:space="preserve">Usage lists global flags (--config, --priority-rules, --state-dir) and subcommands init/validate/serve. Exit 0.</t>
  </si>
  <si>
    <t xml:space="preserve">CLI-02</t>
  </si>
  <si>
    <t xml:space="preserve">Version string</t>
  </si>
  <si>
    <t xml:space="preserve">$LF --version</t>
  </si>
  <si>
    <t xml:space="preserve">Prints 0.1.0-draft. Exit 0.</t>
  </si>
  <si>
    <t xml:space="preserve">CLI-03</t>
  </si>
  <si>
    <t xml:space="preserve">Per-subcommand help</t>
  </si>
  <si>
    <t xml:space="preserve">$LF init --help ; $LF serve --help ; $LF validate --help</t>
  </si>
  <si>
    <t xml:space="preserve">Each lists its own flags. Exit 0.</t>
  </si>
  <si>
    <t xml:space="preserve">CLI-04</t>
  </si>
  <si>
    <t xml:space="preserve">init writes default config</t>
  </si>
  <si>
    <t xml:space="preserve">$LF init</t>
  </si>
  <si>
    <t xml:space="preserve">Creates ~/.config/llamaforge/llamaforge.toml + priority_rules.toml; state dir at mode 0750 (Linux default ~/.local/state/llamaforge; macOS ~/Library/Application Support/llamaforge). Prints 'Wrote default config to &lt;path&gt;...'. Exit 0.</t>
  </si>
  <si>
    <t xml:space="preserve">CLI-05</t>
  </si>
  <si>
    <t xml:space="preserve">init matches examples</t>
  </si>
  <si>
    <t xml:space="preserve">diff ~/.config/llamaforge/llamaforge.toml examples/llamaforge.toml</t>
  </si>
  <si>
    <t xml:space="preserve">No differences (init embeds examples/*.toml verbatim).</t>
  </si>
  <si>
    <t xml:space="preserve">CLI-06</t>
  </si>
  <si>
    <t xml:space="preserve">init refuses to clobber</t>
  </si>
  <si>
    <t xml:space="preserve">$LF init  (again, no --force)</t>
  </si>
  <si>
    <t xml:space="preserve">stderr: 'error: existing config at &lt;path&gt; last modified &lt;date&gt;. Use --force to overwrite.' Exit 78. File untouched.</t>
  </si>
  <si>
    <t xml:space="preserve">CLI-07</t>
  </si>
  <si>
    <t xml:space="preserve">init --force overwrites</t>
  </si>
  <si>
    <t xml:space="preserve">$LF init --force</t>
  </si>
  <si>
    <t xml:space="preserve">Overwrites config+rules, success line, exit 0.</t>
  </si>
  <si>
    <t xml:space="preserve">CLI-08</t>
  </si>
  <si>
    <t xml:space="preserve">init --out custom path</t>
  </si>
  <si>
    <t xml:space="preserve">$LF init --out /tmp/lf/llamaforge.toml --state-dir /tmp/lf/state</t>
  </si>
  <si>
    <t xml:space="preserve">Writes config + sibling priority_rules.toml; creates state dir. Exit 0.</t>
  </si>
  <si>
    <t xml:space="preserve">CLI-09</t>
  </si>
  <si>
    <t xml:space="preserve">Default search order</t>
  </si>
  <si>
    <t xml:space="preserve">unset LLAMAFORGE_CONFIG ; $LF validate</t>
  </si>
  <si>
    <t xml:space="preserve">Resolves XDG path (order: --config -&gt; $LLAMAFORGE_CONFIG -&gt; $XDG_CONFIG_HOME/llamaforge/ -&gt; /etc/llamaforge/).</t>
  </si>
  <si>
    <t xml:space="preserve">CLI-10</t>
  </si>
  <si>
    <t xml:space="preserve">Env var override</t>
  </si>
  <si>
    <t xml:space="preserve">LLAMAFORGE_CONFIG=/tmp/lf/llamaforge.toml $LF validate</t>
  </si>
  <si>
    <t xml:space="preserve">Uses the env-pointed file.</t>
  </si>
  <si>
    <t xml:space="preserve">CLI-11</t>
  </si>
  <si>
    <t xml:space="preserve">Serve missing config</t>
  </si>
  <si>
    <t xml:space="preserve">$LF serve --config /nope/missing.toml</t>
  </si>
  <si>
    <t xml:space="preserve">stderr JSON {code:CONFIG_NOT_FOUND,...} + remediation. Exit 78. No silent fallback.</t>
  </si>
  <si>
    <t xml:space="preserve">CLI-12</t>
  </si>
  <si>
    <t xml:space="preserve">State dir not writable</t>
  </si>
  <si>
    <t xml:space="preserve">$LF serve --config $CFG --state-dir /proc/cannot-write</t>
  </si>
  <si>
    <t xml:space="preserve">stderr JSON {code:STATE_DIR_NOT_WRITABLE,...}. Exit 78.</t>
  </si>
  <si>
    <t xml:space="preserve">CLI-13</t>
  </si>
  <si>
    <t xml:space="preserve">Bare invocation == serve</t>
  </si>
  <si>
    <t xml:space="preserve">$LF  (no subcommand, valid config discoverable)</t>
  </si>
  <si>
    <t xml:space="preserve">Boots orchestrator identically to serve.</t>
  </si>
  <si>
    <t xml:space="preserve">CFG-01</t>
  </si>
  <si>
    <t xml:space="preserve">Valid config passes</t>
  </si>
  <si>
    <t xml:space="preserve">$LF validate --config $CFG --rules $RULES</t>
  </si>
  <si>
    <t xml:space="preserve">stdout: 'config OK: &lt;N&gt; servers, &lt;M&gt; task types, validation passed'. Exit 0. No llama-server spawned.</t>
  </si>
  <si>
    <t xml:space="preserve">CFG-02</t>
  </si>
  <si>
    <t xml:space="preserve">Parse error</t>
  </si>
  <si>
    <t xml:space="preserve">Introduce TOML syntax error; $LF validate --config &lt;bad&gt;</t>
  </si>
  <si>
    <t xml:space="preserve">stderr JSON {code:CONFIG_PARSE_ERROR,...} naming file+detail. Exit 78.</t>
  </si>
  <si>
    <t xml:space="preserve">CFG-03</t>
  </si>
  <si>
    <t xml:space="preserve">Empty file</t>
  </si>
  <si>
    <t xml:space="preserve">: &gt; /tmp/empty.toml ; $LF validate --config /tmp/empty.toml</t>
  </si>
  <si>
    <t xml:space="preserve">stderr JSON {code:CONFIG_EMPTY,...}. Exit 78.</t>
  </si>
  <si>
    <t xml:space="preserve">CFG-04</t>
  </si>
  <si>
    <t xml:space="preserve">Duplicate ports</t>
  </si>
  <si>
    <t xml:space="preserve">Two [servers.*] same port; validate</t>
  </si>
  <si>
    <t xml:space="preserve">CONFIG_VALIDATION_ERROR 'duplicate server port: &lt;port&gt;'. Exit 78.</t>
  </si>
  <si>
    <t xml:space="preserve">CFG-05</t>
  </si>
  <si>
    <t xml:space="preserve">Empty binary_path</t>
  </si>
  <si>
    <t xml:space="preserve">binary_path = ""; validate</t>
  </si>
  <si>
    <t xml:space="preserve">'empty binary_path for server &lt;id&gt;'. Exit 78.</t>
  </si>
  <si>
    <t xml:space="preserve">CFG-06</t>
  </si>
  <si>
    <t xml:space="preserve">Empty model_path</t>
  </si>
  <si>
    <t xml:space="preserve">model_path = ""; validate</t>
  </si>
  <si>
    <t xml:space="preserve">'empty model_path for server &lt;id&gt;'. Exit 78.</t>
  </si>
  <si>
    <t xml:space="preserve">CFG-07</t>
  </si>
  <si>
    <t xml:space="preserve">parallel_slots = 0</t>
  </si>
  <si>
    <t xml:space="preserve">parallel_slots = 0; validate</t>
  </si>
  <si>
    <t xml:space="preserve">'parallel_slots must be &gt; 0 for server &lt;id&gt;'. Exit 78.</t>
  </si>
  <si>
    <t xml:space="preserve">CFG-08</t>
  </si>
  <si>
    <t xml:space="preserve">Duplicate GPU id</t>
  </si>
  <si>
    <t xml:space="preserve">Two devices same gpu_id; validate</t>
  </si>
  <si>
    <t xml:space="preserve">'duplicate gpu_id &lt;n&gt; for server &lt;id&gt;'. Exit 78.</t>
  </si>
  <si>
    <t xml:space="preserve">CFG-09</t>
  </si>
  <si>
    <t xml:space="preserve">queue timeout 0</t>
  </si>
  <si>
    <t xml:space="preserve">queue_default_timeout_secs = 0; validate</t>
  </si>
  <si>
    <t xml:space="preserve">'queue_default_timeout_secs must be &gt; 0'. Exit 78.</t>
  </si>
  <si>
    <t xml:space="preserve">CFG-10</t>
  </si>
  <si>
    <t xml:space="preserve">Invalid server id slug</t>
  </si>
  <si>
    <t xml:space="preserve">Illegal [servers.&lt;key&gt;] name; validate</t>
  </si>
  <si>
    <t xml:space="preserve">CONFIG_VALIDATION_ERROR (empty/length/charset slug rule). Exit 78.</t>
  </si>
  <si>
    <t xml:space="preserve">CFG-11</t>
  </si>
  <si>
    <t xml:space="preserve">validate honors --config verbatim</t>
  </si>
  <si>
    <t xml:space="preserve">$LF validate --config /typo/missing.toml</t>
  </si>
  <si>
    <t xml:space="preserve">CONFIG_NOT_FOUND (no fallback to default search). Exit 78.</t>
  </si>
  <si>
    <t xml:space="preserve">CFG-12</t>
  </si>
  <si>
    <t xml:space="preserve">Fair-share auto-normalize</t>
  </si>
  <si>
    <t xml:space="preserve">Weights summing != 100; validate</t>
  </si>
  <si>
    <t xml:space="preserve">Passes; weights auto-normalized to 100 internally.</t>
  </si>
  <si>
    <t xml:space="preserve">LIF-01</t>
  </si>
  <si>
    <t xml:space="preserve">Clean startup</t>
  </si>
  <si>
    <t xml:space="preserve">$LF serve --config $CFG --rules $RULES (foreground)</t>
  </si>
  <si>
    <t xml:space="preserve">Logs: lifecycle.startup.begin (bind_address, http_port=8000, grpc_port=50051) -&gt; spawns children -&gt; lifecycle.startup.ready. Stays running.</t>
  </si>
  <si>
    <t xml:space="preserve">LIF-02</t>
  </si>
  <si>
    <t xml:space="preserve">Children spawned</t>
  </si>
  <si>
    <t xml:space="preserve">pgrep -fl llama-server</t>
  </si>
  <si>
    <t xml:space="preserve">One OS process per server, each with --model/--port from config.</t>
  </si>
  <si>
    <t xml:space="preserve">LIF-03</t>
  </si>
  <si>
    <t xml:space="preserve">Liveness endpoint</t>
  </si>
  <si>
    <t xml:space="preserve">curl -s $HTTP/health</t>
  </si>
  <si>
    <t xml:space="preserve">{"status":"ok"} HTTP 200 (orchestrator liveness).</t>
  </si>
  <si>
    <t xml:space="preserve">LIF-04</t>
  </si>
  <si>
    <t xml:space="preserve">Fleet status</t>
  </si>
  <si>
    <t xml:space="preserve">curl -s $HTTP/v1/servers | jq</t>
  </si>
  <si>
    <t xml:space="preserve">Array of {id,model,state,slots_total,slots_busy}. After warmup state=Running, slots_total=parallel_slots.</t>
  </si>
  <si>
    <t xml:space="preserve">LIF-05</t>
  </si>
  <si>
    <t xml:space="preserve">Management mirror</t>
  </si>
  <si>
    <t xml:space="preserve">curl -s $HTTP/api/servers | jq</t>
  </si>
  <si>
    <t xml:space="preserve">Identical shape/content to /v1/servers.</t>
  </si>
  <si>
    <t xml:space="preserve">LIF-06</t>
  </si>
  <si>
    <t xml:space="preserve">Fail-closed on bad fleet</t>
  </si>
  <si>
    <t xml:space="preserve">Point a binary_path at non-executable; serve</t>
  </si>
  <si>
    <t xml:space="preserve">Server-manager start() errors propagate; transports do NOT start; exits non-zero with FATAL_ERROR log.</t>
  </si>
  <si>
    <t xml:space="preserve">LIF-07</t>
  </si>
  <si>
    <t xml:space="preserve">Starting-&gt;Running visible</t>
  </si>
  <si>
    <t xml:space="preserve">Poll /v1/servers right after boot, then later</t>
  </si>
  <si>
    <t xml:space="preserve">First poll may show Starting; later Running. Legal: Stopped-&gt;Starting-&gt;Running.</t>
  </si>
  <si>
    <t xml:space="preserve">LIF-08</t>
  </si>
  <si>
    <t xml:space="preserve">Restart staggering</t>
  </si>
  <si>
    <t xml:space="preserve">Observe restart timing with &gt;=2 servers (see Phase K)</t>
  </si>
  <si>
    <t xml:space="preserve">Restarts spaced by restart_stagger_secs (default 5s).</t>
  </si>
  <si>
    <t xml:space="preserve">OAI-01</t>
  </si>
  <si>
    <t xml:space="preserve">Model discovery</t>
  </si>
  <si>
    <t xml:space="preserve">curl -s $HTTP/v1/models | jq</t>
  </si>
  <si>
    <t xml:space="preserve">{object:list,data:[{id:&lt;alias&gt;,object:model,created:&lt;unix&gt;,owned_by:llamaforge},...]}. Unaliased servers omitted.</t>
  </si>
  <si>
    <t xml:space="preserve">OAI-02</t>
  </si>
  <si>
    <t xml:space="preserve">Chat non-streaming</t>
  </si>
  <si>
    <t xml:space="preserve">curl -s $HTTP/v1/chat/completions -d '{"model":"&lt;alias&gt;","messages":[{"role":"user","content":"Say hello in one word."}]}' -H content-type:application/json</t>
  </si>
  <si>
    <t xml:space="preserve">200. Full shape: id=chatcmpl-&lt;uuid&gt;, object=chat.completion, created, model echoes alias, choices[0]{index:0,message{role:assistant,content},finish_reason}, usage{prompt_tokens,completion_tokens,total_tokens}.</t>
  </si>
  <si>
    <t xml:space="preserve">OAI-03</t>
  </si>
  <si>
    <t xml:space="preserve">Chat streaming (SSE)</t>
  </si>
  <si>
    <t xml:space="preserve">add stream:true ; curl -N ...</t>
  </si>
  <si>
    <t xml:space="preserve">Stream of data: {object:chat.completion.chunk} delta lines, final stop chunk, then data: [DONE]. Clean close.</t>
  </si>
  <si>
    <t xml:space="preserve">OAI-04</t>
  </si>
  <si>
    <t xml:space="preserve">Legacy completions</t>
  </si>
  <si>
    <t xml:space="preserve">curl -s $HTTP/v1/completions -d '{"model":"&lt;alias&gt;","prompt":"2+2=","max_tokens":16}'</t>
  </si>
  <si>
    <t xml:space="preserve">200. Mapped to single user message; returns chat-completion JSON shape.</t>
  </si>
  <si>
    <t xml:space="preserve">OAI-05</t>
  </si>
  <si>
    <t xml:space="preserve">Param passthrough</t>
  </si>
  <si>
    <t xml:space="preserve">max_tokens:8, temperature:0</t>
  </si>
  <si>
    <t xml:space="preserve">Output bounded by max_tokens; temperature forwarded (deterministic-ish at 0).</t>
  </si>
  <si>
    <t xml:space="preserve">OAI-06</t>
  </si>
  <si>
    <t xml:space="preserve">Unknown model -&gt; 404 not 429</t>
  </si>
  <si>
    <t xml:space="preserve">POST model:'does-not-exist'</t>
  </si>
  <si>
    <t xml:space="preserve">HTTP 404 {error:model_not_found,...}. No Retry-After.</t>
  </si>
  <si>
    <t xml:space="preserve">OAI-07</t>
  </si>
  <si>
    <t xml:space="preserve">Malformed JSON -&gt; 400</t>
  </si>
  <si>
    <t xml:space="preserve">curl ... -d '{not json'</t>
  </si>
  <si>
    <t xml:space="preserve">HTTP 400 {error:invalid_body,...,request_id}.</t>
  </si>
  <si>
    <t xml:space="preserve">OAI-08</t>
  </si>
  <si>
    <t xml:space="preserve">Missing field -&gt; 400</t>
  </si>
  <si>
    <t xml:space="preserve">POST {model:&lt;alias&gt;} (no messages)</t>
  </si>
  <si>
    <t xml:space="preserve">400 invalid_body (deserialization failure).</t>
  </si>
  <si>
    <t xml:space="preserve">OAI-09</t>
  </si>
  <si>
    <t xml:space="preserve">Body too large -&gt; 413</t>
  </si>
  <si>
    <t xml:space="preserve">POST body &gt; 50 MiB</t>
  </si>
  <si>
    <t xml:space="preserve">HTTP 413 {error:request_body_too_large,max_bytes:52428800,received_bytes,request_id}.</t>
  </si>
  <si>
    <t xml:space="preserve">OAI-10</t>
  </si>
  <si>
    <t xml:space="preserve">Request-id correlation</t>
  </si>
  <si>
    <t xml:space="preserve">curl -i any request</t>
  </si>
  <si>
    <t xml:space="preserve">Headers x-request-id and x-llamaforge-request-id (same UUID); on errors same id in JSON request_id.</t>
  </si>
  <si>
    <t xml:space="preserve">OAI-11</t>
  </si>
  <si>
    <t xml:space="preserve">Streaming cancel on disconnect</t>
  </si>
  <si>
    <t xml:space="preserve">Ctrl-C curl mid-stream; watch logs</t>
  </si>
  <si>
    <t xml:space="preserve">Log 'Client disconnected, cancelling request &lt;id&gt;'; request cancelled, no zombie generation.</t>
  </si>
  <si>
    <t xml:space="preserve">ANT-01</t>
  </si>
  <si>
    <t xml:space="preserve">Messages non-streaming</t>
  </si>
  <si>
    <t xml:space="preserve">curl -s $HTTP/v1/messages -H 'anthropic-version: 2023-06-01' -d '{"model":"&lt;alias&gt;","max_tokens":64,"messages":[{"role":"user","content":"Hello"}]}'</t>
  </si>
  <si>
    <t xml:space="preserve">200. {id,type:message,role:assistant,content:[{type:text,text}],model,stop_reason:end_turn,stop_sequence:null,usage{input_tokens,output_tokens}}. Echoes anthropic-version header.</t>
  </si>
  <si>
    <t xml:space="preserve">ANT-02</t>
  </si>
  <si>
    <t xml:space="preserve">Messages streaming</t>
  </si>
  <si>
    <t xml:space="preserve">add stream:true ; curl -N</t>
  </si>
  <si>
    <t xml:space="preserve">Anthropic SSE: message_start -&gt; content_block_start -&gt; content_block_delta... -&gt; content_block_stop -&gt; message_delta -&gt; message_stop. Clean close.</t>
  </si>
  <si>
    <t xml:space="preserve">ANT-03</t>
  </si>
  <si>
    <t xml:space="preserve">Missing version header allowed</t>
  </si>
  <si>
    <t xml:space="preserve">Repeat ANT-01 WITHOUT anthropic-version header</t>
  </si>
  <si>
    <t xml:space="preserve">Still HTTP 200 + normal completion. WARN api.missing_anthropic_version_header logged. KNOWN v1.0 behavior (not a bug).</t>
  </si>
  <si>
    <t xml:space="preserve">ANT-04</t>
  </si>
  <si>
    <t xml:space="preserve">Unknown model -&gt; 404</t>
  </si>
  <si>
    <t xml:space="preserve">POST model:'nope'</t>
  </si>
  <si>
    <t xml:space="preserve">404 model_not_found (same routing path).</t>
  </si>
  <si>
    <t xml:space="preserve">ANT-05</t>
  </si>
  <si>
    <t xml:space="preserve">Malformed body -&gt; 400</t>
  </si>
  <si>
    <t xml:space="preserve">POST invalid JSON</t>
  </si>
  <si>
    <t xml:space="preserve">400 invalid_body.</t>
  </si>
  <si>
    <t xml:space="preserve">GRP-01</t>
  </si>
  <si>
    <t xml:space="preserve">Reflection lists services</t>
  </si>
  <si>
    <t xml:space="preserve">grpcurl -plaintext $GRPC list</t>
  </si>
  <si>
    <t xml:space="preserve">Lists llamaforge.inference.InferenceService, llamaforge.management.ManagementService, grpc.health.v1.Health, grpc.reflection.*</t>
  </si>
  <si>
    <t xml:space="preserve">GRP-02</t>
  </si>
  <si>
    <t xml:space="preserve">Describe inference svc</t>
  </si>
  <si>
    <t xml:space="preserve">grpcurl -plaintext $GRPC describe llamaforge.inference.InferenceService</t>
  </si>
  <si>
    <t xml:space="preserve">Shows StreamInference(InferenceRequest) returns (stream InferenceResponse).</t>
  </si>
  <si>
    <t xml:space="preserve">GRP-03</t>
  </si>
  <si>
    <t xml:space="preserve">gRPC health check</t>
  </si>
  <si>
    <t xml:space="preserve">grpcurl -plaintext $GRPC grpc.health.v1.Health/Check</t>
  </si>
  <si>
    <t xml:space="preserve">{"status":"SERVING"}</t>
  </si>
  <si>
    <t xml:space="preserve">GRP-04</t>
  </si>
  <si>
    <t xml:space="preserve">Streaming inference</t>
  </si>
  <si>
    <t xml:space="preserve">grpcurl -plaintext -d '{"model":"&lt;alias&gt;","messages":[{"role":"user","content":"hi"}]}' $GRPC llamaforge.inference.InferenceService/StreamInference</t>
  </si>
  <si>
    <t xml:space="preserve">Stream of InferenceResponse with token content, terminal stop.</t>
  </si>
  <si>
    <t xml:space="preserve">GRP-05</t>
  </si>
  <si>
    <t xml:space="preserve">Management over gRPC</t>
  </si>
  <si>
    <t xml:space="preserve">grpcurl -plaintext $GRPC llamaforge.management.ManagementService/ListServers</t>
  </si>
  <si>
    <t xml:space="preserve">Server list (mirrors GET /api/servers).</t>
  </si>
  <si>
    <t xml:space="preserve">GRP-06</t>
  </si>
  <si>
    <t xml:space="preserve">ReloadConfig (hot)</t>
  </si>
  <si>
    <t xml:space="preserve">After alias-only edit: ManagementService/ReloadConfig</t>
  </si>
  <si>
    <t xml:space="preserve">Success; alias change applied to running fleet.</t>
  </si>
  <si>
    <t xml:space="preserve">GRP-07</t>
  </si>
  <si>
    <t xml:space="preserve">Unknown model -&gt; NOT_FOUND</t>
  </si>
  <si>
    <t xml:space="preserve">StreamInference model:'nope'</t>
  </si>
  <si>
    <t xml:space="preserve">gRPC status NOT_FOUND (5), 'Model not found'.</t>
  </si>
  <si>
    <t xml:space="preserve">GRP-08</t>
  </si>
  <si>
    <t xml:space="preserve">Queue-full mapping</t>
  </si>
  <si>
    <t xml:space="preserve">Saturate (Phase H) + gRPC call</t>
  </si>
  <si>
    <t xml:space="preserve">gRPC status RESOURCE_EXHAUSTED (8).</t>
  </si>
  <si>
    <t xml:space="preserve">MGT-01</t>
  </si>
  <si>
    <t xml:space="preserve">List servers</t>
  </si>
  <si>
    <t xml:space="preserve">Array {id,model,state,slots_total,slots_busy}. Note an id.</t>
  </si>
  <si>
    <t xml:space="preserve">MGT-02</t>
  </si>
  <si>
    <t xml:space="preserve">Stop a server</t>
  </si>
  <si>
    <t xml:space="preserve">curl -i -s -X POST $HTTP/api/servers/&lt;id&gt;/stop</t>
  </si>
  <si>
    <t xml:space="preserve">HTTP 200. Child gone (pgrep); state Draining-&gt;Stopped.</t>
  </si>
  <si>
    <t xml:space="preserve">MGT-03</t>
  </si>
  <si>
    <t xml:space="preserve">Start a server</t>
  </si>
  <si>
    <t xml:space="preserve">curl -i -s -X POST $HTTP/api/servers/&lt;id&gt;/start</t>
  </si>
  <si>
    <t xml:space="preserve">HTTP 200. Child respawns; state Starting-&gt;Running.</t>
  </si>
  <si>
    <t xml:space="preserve">MGT-04</t>
  </si>
  <si>
    <t xml:space="preserve">Bad slug -&gt; 400</t>
  </si>
  <si>
    <t xml:space="preserve">POST $HTTP/api/servers/Bad%20Id!/start</t>
  </si>
  <si>
    <t xml:space="preserve">HTTP 400 invalid_body (slug rejected before touching fleet).</t>
  </si>
  <si>
    <t xml:space="preserve">MGT-05</t>
  </si>
  <si>
    <t xml:space="preserve">Queue status</t>
  </si>
  <si>
    <t xml:space="preserve">curl -s $HTTP/api/queue | jq</t>
  </si>
  <si>
    <t xml:space="preserve">{depth:&lt;n&gt;,estimated_throughput_req_sec:&lt;f&gt;}. Idle depth 0.</t>
  </si>
  <si>
    <t xml:space="preserve">MGT-06</t>
  </si>
  <si>
    <t xml:space="preserve">Cancel by request id</t>
  </si>
  <si>
    <t xml:space="preserve">While long request runs: DELETE $HTTP/api/queue/&lt;request-uuid&gt;</t>
  </si>
  <si>
    <t xml:space="preserve">HTTP 200 if cancellable. UUID from x-request-id header.</t>
  </si>
  <si>
    <t xml:space="preserve">MGT-07</t>
  </si>
  <si>
    <t xml:space="preserve">Cancel non-UUID -&gt; 400</t>
  </si>
  <si>
    <t xml:space="preserve">DELETE $HTTP/api/queue/not-a-uuid</t>
  </si>
  <si>
    <t xml:space="preserve">HTTP 400 invalid_body ('Invalid RequestId').</t>
  </si>
  <si>
    <t xml:space="preserve">MGT-08</t>
  </si>
  <si>
    <t xml:space="preserve">Reload hot-reloadable</t>
  </si>
  <si>
    <t xml:space="preserve">Edit only alias; POST $HTTP/api/config/reload</t>
  </si>
  <si>
    <t xml:space="preserve">HTTP 200. New alias in /v1/models &amp; /v1/servers. Logs reload.applying/applied.</t>
  </si>
  <si>
    <t xml:space="preserve">MGT-09</t>
  </si>
  <si>
    <t xml:space="preserve">Reload restart-required -&gt; 412</t>
  </si>
  <si>
    <t xml:space="preserve">Edit ctx_size/port/parallel_slots/model_path; POST /api/config/reload</t>
  </si>
  <si>
    <t xml:space="preserve">HTTP 412 {error:precondition_failed,message:'config diff touches restart-required server fields ([...]); restart...'}. Fleet unchanged.</t>
  </si>
  <si>
    <t xml:space="preserve">MGT-10</t>
  </si>
  <si>
    <t xml:space="preserve">Per-request metrics</t>
  </si>
  <si>
    <t xml:space="preserve">curl -s '$HTTP/api/metrics/requests?limit=10' | jq</t>
  </si>
  <si>
    <t xml:space="preserve">JSON array of recent rows (TTFT, tokens, timing, server_id, model). Supports offset + filters.</t>
  </si>
  <si>
    <t xml:space="preserve">MGT-11</t>
  </si>
  <si>
    <t xml:space="preserve">Aggregated metrics</t>
  </si>
  <si>
    <t xml:space="preserve">curl -s '$HTTP/api/metrics/aggregated?group_by=server_id,model_name' | jq</t>
  </si>
  <si>
    <t xml:space="preserve">Aggregates by requested dims. Valid: server_id,hour,model_name,requestor. Invalid field -&gt; 500 naming it.</t>
  </si>
  <si>
    <t xml:space="preserve">MGT-12</t>
  </si>
  <si>
    <t xml:space="preserve">WAL checkpoint default</t>
  </si>
  <si>
    <t xml:space="preserve">curl -i -s -X POST $HTTP/api/maintenance/wal-checkpoint</t>
  </si>
  <si>
    <t xml:space="preserve">HTTP 200. Uses configured wal_checkpoint_mode (default passive).</t>
  </si>
  <si>
    <t xml:space="preserve">MGT-13</t>
  </si>
  <si>
    <t xml:space="preserve">WAL checkpoint truncate</t>
  </si>
  <si>
    <t xml:space="preserve">POST '$HTTP/api/maintenance/wal-checkpoint?mode=truncate'</t>
  </si>
  <si>
    <t xml:space="preserve">HTTP 200; -wal file truncated (verify size drop).</t>
  </si>
  <si>
    <t xml:space="preserve">RT-01</t>
  </si>
  <si>
    <t xml:space="preserve">Alias routing</t>
  </si>
  <si>
    <t xml:space="preserve">Send to alias A and alias B; check /api/metrics/requests</t>
  </si>
  <si>
    <t xml:space="preserve">Each served by matching-alias server; rows show correct server_id per model.</t>
  </si>
  <si>
    <t xml:space="preserve">RT-02</t>
  </si>
  <si>
    <t xml:space="preserve">Multi-instance balancing</t>
  </si>
  <si>
    <t xml:space="preserve">Two instances of same alias; fire concurrent requests</t>
  </si>
  <si>
    <t xml:space="preserve">Load spreads by slot availability (slots_busy + server_id distribution).</t>
  </si>
  <si>
    <t xml:space="preserve">RT-03</t>
  </si>
  <si>
    <t xml:space="preserve">KV-cache prefix affinity</t>
  </si>
  <si>
    <t xml:space="preserve">Two requests sharing long identical prefix to multi-instance alias</t>
  </si>
  <si>
    <t xml:space="preserve">Routing prefers instance already holding the prefix (same server_id when affinity dominates).</t>
  </si>
  <si>
    <t xml:space="preserve">RT-04</t>
  </si>
  <si>
    <t xml:space="preserve">Queue saturation -&gt; 429</t>
  </si>
  <si>
    <t xml:space="preserve">queue_max_depth low + parallel_slots=1; fire many concurrent long requests</t>
  </si>
  <si>
    <t xml:space="preserve">Excess get HTTP 429 {error:queue_full} + Retry-After. In-slot requests complete.</t>
  </si>
  <si>
    <t xml:space="preserve">RT-05</t>
  </si>
  <si>
    <t xml:space="preserve">Priority ordering</t>
  </si>
  <si>
    <t xml:space="preserve">Submit low (default) vs high (bonus/emergency) under contention</t>
  </si>
  <si>
    <t xml:space="preserve">Higher effective-priority dequeued first. NOTE: HTTP path attributes all to anonymous/default (see Known behaviors); validate via gRPC/queue internals.</t>
  </si>
  <si>
    <t xml:space="preserve">RT-06</t>
  </si>
  <si>
    <t xml:space="preserve">Starvation boost</t>
  </si>
  <si>
    <t xml:space="preserve">Leave low-priority queued beyond starvation.threshold_secs (30s)</t>
  </si>
  <si>
    <t xml:space="preserve">Aged request gets boost (boost_per_interval) and eventually runs.</t>
  </si>
  <si>
    <t xml:space="preserve">RT-07</t>
  </si>
  <si>
    <t xml:space="preserve">Preemption (if enabled)</t>
  </si>
  <si>
    <t xml:space="preserve">[preemption] enabled=true; saturate low-pri; submit emergency</t>
  </si>
  <si>
    <t xml:space="preserve">Low-pri with &gt;= min_tokens_before_preempt may be preempted. Default = disabled; verify off case = no preemption.</t>
  </si>
  <si>
    <t xml:space="preserve">OBS-01</t>
  </si>
  <si>
    <t xml:space="preserve">Prometheus endpoint</t>
  </si>
  <si>
    <t xml:space="preserve">curl -s $HTTP/metrics | head -40</t>
  </si>
  <si>
    <t xml:space="preserve">Prometheus text: llamaforge_http_requests_total{method,path,status}, http_request_duration_seconds, active_connections, auth_failures_total.</t>
  </si>
  <si>
    <t xml:space="preserve">OBS-02</t>
  </si>
  <si>
    <t xml:space="preserve">Counters move</t>
  </si>
  <si>
    <t xml:space="preserve">Hit /v1/chat/completions a few times; re-scrape</t>
  </si>
  <si>
    <t xml:space="preserve">http_requests_total for that path/status increments.</t>
  </si>
  <si>
    <t xml:space="preserve">OBS-03</t>
  </si>
  <si>
    <t xml:space="preserve">SQLite persisted</t>
  </si>
  <si>
    <t xml:space="preserve">sqlite3 llamaforge.db '.tables' ; select count(*) from request_metrics</t>
  </si>
  <si>
    <t xml:space="preserve">DB exists at metrics_db_path; rows accumulate.</t>
  </si>
  <si>
    <t xml:space="preserve">OBS-04</t>
  </si>
  <si>
    <t xml:space="preserve">DB path honored</t>
  </si>
  <si>
    <t xml:space="preserve">Set custom metrics_db_path; restart; traffic</t>
  </si>
  <si>
    <t xml:space="preserve">DB created at custom path, not default.</t>
  </si>
  <si>
    <t xml:space="preserve">OBS-05</t>
  </si>
  <si>
    <t xml:space="preserve">Structured logs</t>
  </si>
  <si>
    <t xml:space="preserve">log_format=json; observe stdout</t>
  </si>
  <si>
    <t xml:space="preserve">Each line JSON event with stable name (lifecycle.*, transport.request); lifecycle carries request_id.</t>
  </si>
  <si>
    <t xml:space="preserve">OBS-06</t>
  </si>
  <si>
    <t xml:space="preserve">Retention setting</t>
  </si>
  <si>
    <t xml:space="preserve">Confirm metrics_retention_days (default 30) read</t>
  </si>
  <si>
    <t xml:space="preserve">Rows beyond window pruned by maintenance path.</t>
  </si>
  <si>
    <t xml:space="preserve">OBS-07</t>
  </si>
  <si>
    <t xml:space="preserve">TTFT/throughput captured</t>
  </si>
  <si>
    <t xml:space="preserve">Inspect a metrics row (MGT-10)</t>
  </si>
  <si>
    <t xml:space="preserve">Row includes time-to-first-token and tokens/sec fields.</t>
  </si>
  <si>
    <t xml:space="preserve">SEC-01</t>
  </si>
  <si>
    <t xml:space="preserve">No key -&gt; 401 (HTTP)</t>
  </si>
  <si>
    <t xml:space="preserve">api_key set; POST /v1/chat/completions without auth</t>
  </si>
  <si>
    <t xml:space="preserve">HTTP 401 {error:auth_failure}. Logs transport.auth_failed; increments llamaforge_auth_failures_total.</t>
  </si>
  <si>
    <t xml:space="preserve">SEC-02</t>
  </si>
  <si>
    <t xml:space="preserve">Correct bearer -&gt; 200</t>
  </si>
  <si>
    <t xml:space="preserve">add -H 'authorization: Bearer test-secret'</t>
  </si>
  <si>
    <t xml:space="preserve">HTTP 200 normal completion.</t>
  </si>
  <si>
    <t xml:space="preserve">SEC-03</t>
  </si>
  <si>
    <t xml:space="preserve">Wrong key -&gt; 401</t>
  </si>
  <si>
    <t xml:space="preserve">-H 'authorization: Bearer wrong'</t>
  </si>
  <si>
    <t xml:space="preserve">HTTP 401 auth_failure.</t>
  </si>
  <si>
    <t xml:space="preserve">SEC-04</t>
  </si>
  <si>
    <t xml:space="preserve">Auth covers ALL routes</t>
  </si>
  <si>
    <t xml:space="preserve">api_key set; curl /health and /metrics WITHOUT key</t>
  </si>
  <si>
    <t xml:space="preserve">HTTP 401 for both. KNOWN: auth is global; probes must supply the key.</t>
  </si>
  <si>
    <t xml:space="preserve">SEC-05</t>
  </si>
  <si>
    <t xml:space="preserve">gRPC auth</t>
  </si>
  <si>
    <t xml:space="preserve">api_key set; ListServers no creds, then with Bearer metadata</t>
  </si>
  <si>
    <t xml:space="preserve">No creds -&gt; UNAUTHENTICATED (16). Correct bearer -&gt; success.</t>
  </si>
  <si>
    <t xml:space="preserve">SEC-06</t>
  </si>
  <si>
    <t xml:space="preserve">Empty key disables auth</t>
  </si>
  <si>
    <t xml:space="preserve">api_key = ""; restart</t>
  </si>
  <si>
    <t xml:space="preserve">Auth bypassed (empty == no auth); requests succeed without header.</t>
  </si>
  <si>
    <t xml:space="preserve">SEC-07</t>
  </si>
  <si>
    <t xml:space="preserve">CORS preflight</t>
  </si>
  <si>
    <t xml:space="preserve">curl -i -X OPTIONS /v1/chat/completions -H 'Origin: ...' -H 'Access-Control-Request-Method: POST'</t>
  </si>
  <si>
    <t xml:space="preserve">CORS headers per [cors] allowed_origins (default *); methods incl GET/POST/DELETE/OPTIONS.</t>
  </si>
  <si>
    <t xml:space="preserve">CHA-01</t>
  </si>
  <si>
    <t xml:space="preserve">Crash -&gt; restart w/ backoff</t>
  </si>
  <si>
    <t xml:space="preserve">pkill -f 'llama-server.*8080'</t>
  </si>
  <si>
    <t xml:space="preserve">Detected; server Failed-&gt;Restarting-&gt;Starting-&gt;Running w/ backoff. /api/servers reflects; routing resumes when healthy.</t>
  </si>
  <si>
    <t xml:space="preserve">CHA-02</t>
  </si>
  <si>
    <t xml:space="preserve">Health-fail handling</t>
  </si>
  <si>
    <t xml:space="preserve">(mock) health_fail_after=N</t>
  </si>
  <si>
    <t xml:space="preserve">Server leaves Running (Failed/Restarting); routing stops; recovery attempted.</t>
  </si>
  <si>
    <t xml:space="preserve">CHA-03</t>
  </si>
  <si>
    <t xml:space="preserve">Warming window -&gt; 503</t>
  </si>
  <si>
    <t xml:space="preserve">Request to Starting server (or startup_503_ms)</t>
  </si>
  <si>
    <t xml:space="preserve">Non-stream ending without terminal stop -&gt; HTTP 503 {error:service_unavailable} + Retry-After (not fake empty 200).</t>
  </si>
  <si>
    <t xml:space="preserve">CHA-04</t>
  </si>
  <si>
    <t xml:space="preserve">Request timeout -&gt; 504</t>
  </si>
  <si>
    <t xml:space="preserve">Backend stalls &gt; queue_default_timeout_secs (lower to ~5s; mock raise chunk delay)</t>
  </si>
  <si>
    <t xml:space="preserve">Non-stream: HTTP 504 {error:timeout}. Stream: SSE closes w/ log openai.sse.upstream_stalled.</t>
  </si>
  <si>
    <t xml:space="preserve">CHA-05</t>
  </si>
  <si>
    <t xml:space="preserve">Cancellation frees slot</t>
  </si>
  <si>
    <t xml:space="preserve">Kill client mid-stream; check /api/queue &amp; slots_busy</t>
  </si>
  <si>
    <t xml:space="preserve">Request cancelled (log Client disconnected...); slot frees; queued work proceeds.</t>
  </si>
  <si>
    <t xml:space="preserve">CHA-06</t>
  </si>
  <si>
    <t xml:space="preserve">Graceful shutdown (SIGINT)</t>
  </si>
  <si>
    <t xml:space="preserve">Ctrl-C in terminal 1</t>
  </si>
  <si>
    <t xml:space="preserve">Logs shutdown.started -&gt; transports drain -&gt; shutdown_all -&gt; shutdown.completed; exit 0.</t>
  </si>
  <si>
    <t xml:space="preserve">CHA-07</t>
  </si>
  <si>
    <t xml:space="preserve">No orphaned children</t>
  </si>
  <si>
    <t xml:space="preserve">After CHA-06: pgrep -fl llama-server</t>
  </si>
  <si>
    <t xml:space="preserve">No llama-server processes remain.</t>
  </si>
  <si>
    <t xml:space="preserve">CHA-08</t>
  </si>
  <si>
    <t xml:space="preserve">SIGTERM also graceful</t>
  </si>
  <si>
    <t xml:space="preserve">kill -TERM &lt;llamaforge-pid&gt;</t>
  </si>
  <si>
    <t xml:space="preserve">Same graceful drain as SIGINT.</t>
  </si>
  <si>
    <t xml:space="preserve">CHA-09</t>
  </si>
  <si>
    <t xml:space="preserve">Backend 5xx -&gt; 502</t>
  </si>
  <si>
    <t xml:space="preserve">Force backend error on a request</t>
  </si>
  <si>
    <t xml:space="preserve">HTTP 502 {error:backend_error}.</t>
  </si>
  <si>
    <t xml:space="preserve">REL-01</t>
  </si>
  <si>
    <t xml:space="preserve">SIGHUP hot reload</t>
  </si>
  <si>
    <t xml:space="preserve">Edit alias; kill -HUP &lt;pid&gt;</t>
  </si>
  <si>
    <t xml:space="preserve">Logs reload.signaled -&gt; completed (changes=N). New alias live. No restart.</t>
  </si>
  <si>
    <t xml:space="preserve">REL-02</t>
  </si>
  <si>
    <t xml:space="preserve">SIGHUP restart-required refused</t>
  </si>
  <si>
    <t xml:space="preserve">Edit ctx_size; kill -HUP &lt;pid&gt;</t>
  </si>
  <si>
    <t xml:space="preserve">Logs reload.restart_required (WARN) w/ fields. Change NOT applied; fleet keeps old value.</t>
  </si>
  <si>
    <t xml:space="preserve">REL-03</t>
  </si>
  <si>
    <t xml:space="preserve">HTTP reload parity</t>
  </si>
  <si>
    <t xml:space="preserve">Repeat via POST /api/config/reload</t>
  </si>
  <si>
    <t xml:space="preserve">Hot -&gt; 200; restart-required -&gt; 412.</t>
  </si>
  <si>
    <t xml:space="preserve">REL-04</t>
  </si>
  <si>
    <t xml:space="preserve">gRPC reload parity</t>
  </si>
  <si>
    <t xml:space="preserve">Repeat via ManagementService/ReloadConfig</t>
  </si>
  <si>
    <t xml:space="preserve">Hot -&gt; success; restart-required -&gt; FAILED_PRECONDITION (9).</t>
  </si>
  <si>
    <t xml:space="preserve">REL-05</t>
  </si>
  <si>
    <t xml:space="preserve">Mid-request snapshot stability</t>
  </si>
  <si>
    <t xml:space="preserve">Start long request; hot-reload during it</t>
  </si>
  <si>
    <t xml:space="preserve">In-flight finishes against its start snapshot; new snapshot applies to later requests only.</t>
  </si>
  <si>
    <t xml:space="preserve">REL-06</t>
  </si>
  <si>
    <t xml:space="preserve">Restart applies restart-required</t>
  </si>
  <si>
    <t xml:space="preserve">After REL-02, stop and restart orchestrator</t>
  </si>
  <si>
    <t xml:space="preserve">Previously-refused ctx_size change takes effect on boot.</t>
  </si>
  <si>
    <t xml:space="preserve">TD-01</t>
  </si>
  <si>
    <t xml:space="preserve">Clean stop -&gt; consistent DB</t>
  </si>
  <si>
    <t xml:space="preserve">Shutdown (CHA-06); sqlite3 llamaforge.db 'pragma integrity_check;'</t>
  </si>
  <si>
    <t xml:space="preserve">'ok'. Session metrics persisted and readable.</t>
  </si>
  <si>
    <t xml:space="preserve">TD-02</t>
  </si>
  <si>
    <t xml:space="preserve">Lock file lifecycle</t>
  </si>
  <si>
    <t xml:space="preserve">Inspect state_dir for config.lock; second serve same state dir</t>
  </si>
  <si>
    <t xml:space="preserve">Lock exists while running; concurrent writers contend via flock+timeout, no corruption.</t>
  </si>
  <si>
    <t xml:space="preserve">TD-03</t>
  </si>
  <si>
    <t xml:space="preserve">Restart resumes cleanly</t>
  </si>
  <si>
    <t xml:space="preserve">Start again after teardown</t>
  </si>
  <si>
    <t xml:space="preserve">Boots normally; prior metrics still queryable.</t>
  </si>
  <si>
    <t xml:space="preserve">TD-04</t>
  </si>
  <si>
    <t xml:space="preserve">WAL growth controlled</t>
  </si>
  <si>
    <t xml:space="preserve">After heavy traffic run MGT-13 (truncate)</t>
  </si>
  <si>
    <t xml:space="preserve">WAL shrinks; DB consistent.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</si>
</sst>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ED7D31"/>
        <bgColor rgb="FFFF8080"/>
      </patternFill>
    </fill>
    <fill>
      <patternFill patternType="solid">
        <fgColor rgb="FFA6A6A6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595959"/>
        <sz val="10"/>
      </font>
      <fill>
        <patternFill>
          <bgColor rgb="FFD9D9D9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8" min="3" style="0" width="10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 t="s">
        <v>12</v>
      </c>
      <c r="C5" s="6" t="n">
        <f aca="false">COUNTIF('Test Tracker'!$B:$B,$A5)</f>
        <v>4</v>
      </c>
      <c r="D5" s="6" t="n">
        <f aca="false">COUNTIFS('Test Tracker'!$B:$B,$A5,'Test Tracker'!$H:$H,"Pass")</f>
        <v>0</v>
      </c>
      <c r="E5" s="6" t="n">
        <f aca="false">COUNTIFS('Test Tracker'!$B:$B,$A5,'Test Tracker'!$H:$H,"Fail")</f>
        <v>0</v>
      </c>
      <c r="F5" s="6" t="n">
        <f aca="false">COUNTIFS('Test Tracker'!$B:$B,$A5,'Test Tracker'!$H:$H,"Blocked")</f>
        <v>0</v>
      </c>
      <c r="G5" s="6" t="n">
        <f aca="false">COUNTIFS('Test Tracker'!$B:$B,$A5,'Test Tracker'!$H:$H,"N/A")</f>
        <v>0</v>
      </c>
      <c r="H5" s="6" t="n">
        <f aca="false">COUNTIFS('Test Tracker'!$B:$B,$A5,'Test Tracker'!$H:$H,"Not Run")</f>
        <v>4</v>
      </c>
      <c r="I5" s="7" t="n">
        <f aca="false">IF($C5=0,0,($C5-$H5)/$C5)</f>
        <v>0</v>
      </c>
    </row>
    <row r="6" customFormat="false" ht="15" hidden="false" customHeight="false" outlineLevel="0" collapsed="false">
      <c r="A6" s="4" t="s">
        <v>13</v>
      </c>
      <c r="B6" s="5" t="s">
        <v>14</v>
      </c>
      <c r="C6" s="6" t="n">
        <f aca="false">COUNTIF('Test Tracker'!$B:$B,$A6)</f>
        <v>13</v>
      </c>
      <c r="D6" s="6" t="n">
        <f aca="false">COUNTIFS('Test Tracker'!$B:$B,$A6,'Test Tracker'!$H:$H,"Pass")</f>
        <v>0</v>
      </c>
      <c r="E6" s="6" t="n">
        <f aca="false">COUNTIFS('Test Tracker'!$B:$B,$A6,'Test Tracker'!$H:$H,"Fail")</f>
        <v>0</v>
      </c>
      <c r="F6" s="6" t="n">
        <f aca="false">COUNTIFS('Test Tracker'!$B:$B,$A6,'Test Tracker'!$H:$H,"Blocked")</f>
        <v>0</v>
      </c>
      <c r="G6" s="6" t="n">
        <f aca="false">COUNTIFS('Test Tracker'!$B:$B,$A6,'Test Tracker'!$H:$H,"N/A")</f>
        <v>0</v>
      </c>
      <c r="H6" s="6" t="n">
        <f aca="false">COUNTIFS('Test Tracker'!$B:$B,$A6,'Test Tracker'!$H:$H,"Not Run")</f>
        <v>13</v>
      </c>
      <c r="I6" s="7" t="n">
        <f aca="false">IF($C6=0,0,($C6-$H6)/$C6)</f>
        <v>0</v>
      </c>
    </row>
    <row r="7" customFormat="false" ht="15" hidden="false" customHeight="false" outlineLevel="0" collapsed="false">
      <c r="A7" s="4" t="s">
        <v>15</v>
      </c>
      <c r="B7" s="5" t="s">
        <v>16</v>
      </c>
      <c r="C7" s="6" t="n">
        <f aca="false">COUNTIF('Test Tracker'!$B:$B,$A7)</f>
        <v>12</v>
      </c>
      <c r="D7" s="6" t="n">
        <f aca="false">COUNTIFS('Test Tracker'!$B:$B,$A7,'Test Tracker'!$H:$H,"Pass")</f>
        <v>0</v>
      </c>
      <c r="E7" s="6" t="n">
        <f aca="false">COUNTIFS('Test Tracker'!$B:$B,$A7,'Test Tracker'!$H:$H,"Fail")</f>
        <v>0</v>
      </c>
      <c r="F7" s="6" t="n">
        <f aca="false">COUNTIFS('Test Tracker'!$B:$B,$A7,'Test Tracker'!$H:$H,"Blocked")</f>
        <v>0</v>
      </c>
      <c r="G7" s="6" t="n">
        <f aca="false">COUNTIFS('Test Tracker'!$B:$B,$A7,'Test Tracker'!$H:$H,"N/A")</f>
        <v>0</v>
      </c>
      <c r="H7" s="6" t="n">
        <f aca="false">COUNTIFS('Test Tracker'!$B:$B,$A7,'Test Tracker'!$H:$H,"Not Run")</f>
        <v>12</v>
      </c>
      <c r="I7" s="7" t="n">
        <f aca="false">IF($C7=0,0,($C7-$H7)/$C7)</f>
        <v>0</v>
      </c>
    </row>
    <row r="8" customFormat="false" ht="15" hidden="false" customHeight="false" outlineLevel="0" collapsed="false">
      <c r="A8" s="4" t="s">
        <v>17</v>
      </c>
      <c r="B8" s="5" t="s">
        <v>18</v>
      </c>
      <c r="C8" s="6" t="n">
        <f aca="false">COUNTIF('Test Tracker'!$B:$B,$A8)</f>
        <v>8</v>
      </c>
      <c r="D8" s="6" t="n">
        <f aca="false">COUNTIFS('Test Tracker'!$B:$B,$A8,'Test Tracker'!$H:$H,"Pass")</f>
        <v>0</v>
      </c>
      <c r="E8" s="6" t="n">
        <f aca="false">COUNTIFS('Test Tracker'!$B:$B,$A8,'Test Tracker'!$H:$H,"Fail")</f>
        <v>0</v>
      </c>
      <c r="F8" s="6" t="n">
        <f aca="false">COUNTIFS('Test Tracker'!$B:$B,$A8,'Test Tracker'!$H:$H,"Blocked")</f>
        <v>0</v>
      </c>
      <c r="G8" s="6" t="n">
        <f aca="false">COUNTIFS('Test Tracker'!$B:$B,$A8,'Test Tracker'!$H:$H,"N/A")</f>
        <v>0</v>
      </c>
      <c r="H8" s="6" t="n">
        <f aca="false">COUNTIFS('Test Tracker'!$B:$B,$A8,'Test Tracker'!$H:$H,"Not Run")</f>
        <v>8</v>
      </c>
      <c r="I8" s="7" t="n">
        <f aca="false">IF($C8=0,0,($C8-$H8)/$C8)</f>
        <v>0</v>
      </c>
    </row>
    <row r="9" customFormat="false" ht="15" hidden="false" customHeight="false" outlineLevel="0" collapsed="false">
      <c r="A9" s="4" t="s">
        <v>19</v>
      </c>
      <c r="B9" s="5" t="s">
        <v>20</v>
      </c>
      <c r="C9" s="6" t="n">
        <f aca="false">COUNTIF('Test Tracker'!$B:$B,$A9)</f>
        <v>11</v>
      </c>
      <c r="D9" s="6" t="n">
        <f aca="false">COUNTIFS('Test Tracker'!$B:$B,$A9,'Test Tracker'!$H:$H,"Pass")</f>
        <v>0</v>
      </c>
      <c r="E9" s="6" t="n">
        <f aca="false">COUNTIFS('Test Tracker'!$B:$B,$A9,'Test Tracker'!$H:$H,"Fail")</f>
        <v>0</v>
      </c>
      <c r="F9" s="6" t="n">
        <f aca="false">COUNTIFS('Test Tracker'!$B:$B,$A9,'Test Tracker'!$H:$H,"Blocked")</f>
        <v>0</v>
      </c>
      <c r="G9" s="6" t="n">
        <f aca="false">COUNTIFS('Test Tracker'!$B:$B,$A9,'Test Tracker'!$H:$H,"N/A")</f>
        <v>0</v>
      </c>
      <c r="H9" s="6" t="n">
        <f aca="false">COUNTIFS('Test Tracker'!$B:$B,$A9,'Test Tracker'!$H:$H,"Not Run")</f>
        <v>11</v>
      </c>
      <c r="I9" s="7" t="n">
        <f aca="false">IF($C9=0,0,($C9-$H9)/$C9)</f>
        <v>0</v>
      </c>
    </row>
    <row r="10" customFormat="false" ht="15" hidden="false" customHeight="false" outlineLevel="0" collapsed="false">
      <c r="A10" s="4" t="s">
        <v>21</v>
      </c>
      <c r="B10" s="5" t="s">
        <v>22</v>
      </c>
      <c r="C10" s="6" t="n">
        <f aca="false">COUNTIF('Test Tracker'!$B:$B,$A10)</f>
        <v>5</v>
      </c>
      <c r="D10" s="6" t="n">
        <f aca="false">COUNTIFS('Test Tracker'!$B:$B,$A10,'Test Tracker'!$H:$H,"Pass")</f>
        <v>0</v>
      </c>
      <c r="E10" s="6" t="n">
        <f aca="false">COUNTIFS('Test Tracker'!$B:$B,$A10,'Test Tracker'!$H:$H,"Fail")</f>
        <v>0</v>
      </c>
      <c r="F10" s="6" t="n">
        <f aca="false">COUNTIFS('Test Tracker'!$B:$B,$A10,'Test Tracker'!$H:$H,"Blocked")</f>
        <v>0</v>
      </c>
      <c r="G10" s="6" t="n">
        <f aca="false">COUNTIFS('Test Tracker'!$B:$B,$A10,'Test Tracker'!$H:$H,"N/A")</f>
        <v>0</v>
      </c>
      <c r="H10" s="6" t="n">
        <f aca="false">COUNTIFS('Test Tracker'!$B:$B,$A10,'Test Tracker'!$H:$H,"Not Run")</f>
        <v>5</v>
      </c>
      <c r="I10" s="7" t="n">
        <f aca="false">IF($C10=0,0,($C10-$H10)/$C10)</f>
        <v>0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6" t="n">
        <f aca="false">COUNTIF('Test Tracker'!$B:$B,$A11)</f>
        <v>8</v>
      </c>
      <c r="D11" s="6" t="n">
        <f aca="false">COUNTIFS('Test Tracker'!$B:$B,$A11,'Test Tracker'!$H:$H,"Pass")</f>
        <v>0</v>
      </c>
      <c r="E11" s="6" t="n">
        <f aca="false">COUNTIFS('Test Tracker'!$B:$B,$A11,'Test Tracker'!$H:$H,"Fail")</f>
        <v>0</v>
      </c>
      <c r="F11" s="6" t="n">
        <f aca="false">COUNTIFS('Test Tracker'!$B:$B,$A11,'Test Tracker'!$H:$H,"Blocked")</f>
        <v>0</v>
      </c>
      <c r="G11" s="6" t="n">
        <f aca="false">COUNTIFS('Test Tracker'!$B:$B,$A11,'Test Tracker'!$H:$H,"N/A")</f>
        <v>0</v>
      </c>
      <c r="H11" s="6" t="n">
        <f aca="false">COUNTIFS('Test Tracker'!$B:$B,$A11,'Test Tracker'!$H:$H,"Not Run")</f>
        <v>8</v>
      </c>
      <c r="I11" s="7" t="n">
        <f aca="false">IF($C11=0,0,($C11-$H11)/$C11)</f>
        <v>0</v>
      </c>
    </row>
    <row r="12" customFormat="false" ht="15" hidden="false" customHeight="false" outlineLevel="0" collapsed="false">
      <c r="A12" s="4" t="s">
        <v>25</v>
      </c>
      <c r="B12" s="5" t="s">
        <v>26</v>
      </c>
      <c r="C12" s="6" t="n">
        <f aca="false">COUNTIF('Test Tracker'!$B:$B,$A12)</f>
        <v>13</v>
      </c>
      <c r="D12" s="6" t="n">
        <f aca="false">COUNTIFS('Test Tracker'!$B:$B,$A12,'Test Tracker'!$H:$H,"Pass")</f>
        <v>0</v>
      </c>
      <c r="E12" s="6" t="n">
        <f aca="false">COUNTIFS('Test Tracker'!$B:$B,$A12,'Test Tracker'!$H:$H,"Fail")</f>
        <v>0</v>
      </c>
      <c r="F12" s="6" t="n">
        <f aca="false">COUNTIFS('Test Tracker'!$B:$B,$A12,'Test Tracker'!$H:$H,"Blocked")</f>
        <v>0</v>
      </c>
      <c r="G12" s="6" t="n">
        <f aca="false">COUNTIFS('Test Tracker'!$B:$B,$A12,'Test Tracker'!$H:$H,"N/A")</f>
        <v>0</v>
      </c>
      <c r="H12" s="6" t="n">
        <f aca="false">COUNTIFS('Test Tracker'!$B:$B,$A12,'Test Tracker'!$H:$H,"Not Run")</f>
        <v>13</v>
      </c>
      <c r="I12" s="7" t="n">
        <f aca="false">IF($C12=0,0,($C12-$H12)/$C12)</f>
        <v>0</v>
      </c>
    </row>
    <row r="13" customFormat="false" ht="15" hidden="false" customHeight="false" outlineLevel="0" collapsed="false">
      <c r="A13" s="4" t="s">
        <v>27</v>
      </c>
      <c r="B13" s="5" t="s">
        <v>28</v>
      </c>
      <c r="C13" s="6" t="n">
        <f aca="false">COUNTIF('Test Tracker'!$B:$B,$A13)</f>
        <v>7</v>
      </c>
      <c r="D13" s="6" t="n">
        <f aca="false">COUNTIFS('Test Tracker'!$B:$B,$A13,'Test Tracker'!$H:$H,"Pass")</f>
        <v>0</v>
      </c>
      <c r="E13" s="6" t="n">
        <f aca="false">COUNTIFS('Test Tracker'!$B:$B,$A13,'Test Tracker'!$H:$H,"Fail")</f>
        <v>0</v>
      </c>
      <c r="F13" s="6" t="n">
        <f aca="false">COUNTIFS('Test Tracker'!$B:$B,$A13,'Test Tracker'!$H:$H,"Blocked")</f>
        <v>0</v>
      </c>
      <c r="G13" s="6" t="n">
        <f aca="false">COUNTIFS('Test Tracker'!$B:$B,$A13,'Test Tracker'!$H:$H,"N/A")</f>
        <v>0</v>
      </c>
      <c r="H13" s="6" t="n">
        <f aca="false">COUNTIFS('Test Tracker'!$B:$B,$A13,'Test Tracker'!$H:$H,"Not Run")</f>
        <v>7</v>
      </c>
      <c r="I13" s="7" t="n">
        <f aca="false">IF($C13=0,0,($C13-$H13)/$C13)</f>
        <v>0</v>
      </c>
    </row>
    <row r="14" customFormat="false" ht="15" hidden="false" customHeight="false" outlineLevel="0" collapsed="false">
      <c r="A14" s="4" t="s">
        <v>29</v>
      </c>
      <c r="B14" s="5" t="s">
        <v>30</v>
      </c>
      <c r="C14" s="6" t="n">
        <f aca="false">COUNTIF('Test Tracker'!$B:$B,$A14)</f>
        <v>7</v>
      </c>
      <c r="D14" s="6" t="n">
        <f aca="false">COUNTIFS('Test Tracker'!$B:$B,$A14,'Test Tracker'!$H:$H,"Pass")</f>
        <v>0</v>
      </c>
      <c r="E14" s="6" t="n">
        <f aca="false">COUNTIFS('Test Tracker'!$B:$B,$A14,'Test Tracker'!$H:$H,"Fail")</f>
        <v>0</v>
      </c>
      <c r="F14" s="6" t="n">
        <f aca="false">COUNTIFS('Test Tracker'!$B:$B,$A14,'Test Tracker'!$H:$H,"Blocked")</f>
        <v>0</v>
      </c>
      <c r="G14" s="6" t="n">
        <f aca="false">COUNTIFS('Test Tracker'!$B:$B,$A14,'Test Tracker'!$H:$H,"N/A")</f>
        <v>0</v>
      </c>
      <c r="H14" s="6" t="n">
        <f aca="false">COUNTIFS('Test Tracker'!$B:$B,$A14,'Test Tracker'!$H:$H,"Not Run")</f>
        <v>7</v>
      </c>
      <c r="I14" s="7" t="n">
        <f aca="false">IF($C14=0,0,($C14-$H14)/$C14)</f>
        <v>0</v>
      </c>
    </row>
    <row r="15" customFormat="false" ht="15" hidden="false" customHeight="false" outlineLevel="0" collapsed="false">
      <c r="A15" s="4" t="s">
        <v>31</v>
      </c>
      <c r="B15" s="5" t="s">
        <v>32</v>
      </c>
      <c r="C15" s="6" t="n">
        <f aca="false">COUNTIF('Test Tracker'!$B:$B,$A15)</f>
        <v>7</v>
      </c>
      <c r="D15" s="6" t="n">
        <f aca="false">COUNTIFS('Test Tracker'!$B:$B,$A15,'Test Tracker'!$H:$H,"Pass")</f>
        <v>0</v>
      </c>
      <c r="E15" s="6" t="n">
        <f aca="false">COUNTIFS('Test Tracker'!$B:$B,$A15,'Test Tracker'!$H:$H,"Fail")</f>
        <v>0</v>
      </c>
      <c r="F15" s="6" t="n">
        <f aca="false">COUNTIFS('Test Tracker'!$B:$B,$A15,'Test Tracker'!$H:$H,"Blocked")</f>
        <v>0</v>
      </c>
      <c r="G15" s="6" t="n">
        <f aca="false">COUNTIFS('Test Tracker'!$B:$B,$A15,'Test Tracker'!$H:$H,"N/A")</f>
        <v>0</v>
      </c>
      <c r="H15" s="6" t="n">
        <f aca="false">COUNTIFS('Test Tracker'!$B:$B,$A15,'Test Tracker'!$H:$H,"Not Run")</f>
        <v>7</v>
      </c>
      <c r="I15" s="7" t="n">
        <f aca="false">IF($C15=0,0,($C15-$H15)/$C15)</f>
        <v>0</v>
      </c>
    </row>
    <row r="16" customFormat="false" ht="15" hidden="false" customHeight="false" outlineLevel="0" collapsed="false">
      <c r="A16" s="4" t="s">
        <v>33</v>
      </c>
      <c r="B16" s="5" t="s">
        <v>34</v>
      </c>
      <c r="C16" s="6" t="n">
        <f aca="false">COUNTIF('Test Tracker'!$B:$B,$A16)</f>
        <v>9</v>
      </c>
      <c r="D16" s="6" t="n">
        <f aca="false">COUNTIFS('Test Tracker'!$B:$B,$A16,'Test Tracker'!$H:$H,"Pass")</f>
        <v>0</v>
      </c>
      <c r="E16" s="6" t="n">
        <f aca="false">COUNTIFS('Test Tracker'!$B:$B,$A16,'Test Tracker'!$H:$H,"Fail")</f>
        <v>0</v>
      </c>
      <c r="F16" s="6" t="n">
        <f aca="false">COUNTIFS('Test Tracker'!$B:$B,$A16,'Test Tracker'!$H:$H,"Blocked")</f>
        <v>0</v>
      </c>
      <c r="G16" s="6" t="n">
        <f aca="false">COUNTIFS('Test Tracker'!$B:$B,$A16,'Test Tracker'!$H:$H,"N/A")</f>
        <v>0</v>
      </c>
      <c r="H16" s="6" t="n">
        <f aca="false">COUNTIFS('Test Tracker'!$B:$B,$A16,'Test Tracker'!$H:$H,"Not Run")</f>
        <v>9</v>
      </c>
      <c r="I16" s="7" t="n">
        <f aca="false">IF($C16=0,0,($C16-$H16)/$C16)</f>
        <v>0</v>
      </c>
    </row>
    <row r="17" customFormat="false" ht="15" hidden="false" customHeight="false" outlineLevel="0" collapsed="false">
      <c r="A17" s="4" t="s">
        <v>35</v>
      </c>
      <c r="B17" s="5" t="s">
        <v>36</v>
      </c>
      <c r="C17" s="6" t="n">
        <f aca="false">COUNTIF('Test Tracker'!$B:$B,$A17)</f>
        <v>6</v>
      </c>
      <c r="D17" s="6" t="n">
        <f aca="false">COUNTIFS('Test Tracker'!$B:$B,$A17,'Test Tracker'!$H:$H,"Pass")</f>
        <v>0</v>
      </c>
      <c r="E17" s="6" t="n">
        <f aca="false">COUNTIFS('Test Tracker'!$B:$B,$A17,'Test Tracker'!$H:$H,"Fail")</f>
        <v>0</v>
      </c>
      <c r="F17" s="6" t="n">
        <f aca="false">COUNTIFS('Test Tracker'!$B:$B,$A17,'Test Tracker'!$H:$H,"Blocked")</f>
        <v>0</v>
      </c>
      <c r="G17" s="6" t="n">
        <f aca="false">COUNTIFS('Test Tracker'!$B:$B,$A17,'Test Tracker'!$H:$H,"N/A")</f>
        <v>0</v>
      </c>
      <c r="H17" s="6" t="n">
        <f aca="false">COUNTIFS('Test Tracker'!$B:$B,$A17,'Test Tracker'!$H:$H,"Not Run")</f>
        <v>6</v>
      </c>
      <c r="I17" s="7" t="n">
        <f aca="false">IF($C17=0,0,($C17-$H17)/$C17)</f>
        <v>0</v>
      </c>
    </row>
    <row r="18" customFormat="false" ht="15" hidden="false" customHeight="false" outlineLevel="0" collapsed="false">
      <c r="A18" s="4" t="s">
        <v>37</v>
      </c>
      <c r="B18" s="5" t="s">
        <v>38</v>
      </c>
      <c r="C18" s="6" t="n">
        <f aca="false">COUNTIF('Test Tracker'!$B:$B,$A18)</f>
        <v>4</v>
      </c>
      <c r="D18" s="6" t="n">
        <f aca="false">COUNTIFS('Test Tracker'!$B:$B,$A18,'Test Tracker'!$H:$H,"Pass")</f>
        <v>0</v>
      </c>
      <c r="E18" s="6" t="n">
        <f aca="false">COUNTIFS('Test Tracker'!$B:$B,$A18,'Test Tracker'!$H:$H,"Fail")</f>
        <v>0</v>
      </c>
      <c r="F18" s="6" t="n">
        <f aca="false">COUNTIFS('Test Tracker'!$B:$B,$A18,'Test Tracker'!$H:$H,"Blocked")</f>
        <v>0</v>
      </c>
      <c r="G18" s="6" t="n">
        <f aca="false">COUNTIFS('Test Tracker'!$B:$B,$A18,'Test Tracker'!$H:$H,"N/A")</f>
        <v>0</v>
      </c>
      <c r="H18" s="6" t="n">
        <f aca="false">COUNTIFS('Test Tracker'!$B:$B,$A18,'Test Tracker'!$H:$H,"Not Run")</f>
        <v>4</v>
      </c>
      <c r="I18" s="7" t="n">
        <f aca="false">IF($C18=0,0,($C18-$H18)/$C18)</f>
        <v>0</v>
      </c>
    </row>
    <row r="19" customFormat="false" ht="15" hidden="false" customHeight="false" outlineLevel="0" collapsed="false">
      <c r="A19" s="8" t="s">
        <v>39</v>
      </c>
      <c r="B19" s="8" t="s">
        <v>40</v>
      </c>
      <c r="C19" s="9" t="n">
        <f aca="false">SUM(C5:C18)</f>
        <v>114</v>
      </c>
      <c r="D19" s="9" t="n">
        <f aca="false">SUM(D5:D18)</f>
        <v>0</v>
      </c>
      <c r="E19" s="9" t="n">
        <f aca="false">SUM(E5:E18)</f>
        <v>0</v>
      </c>
      <c r="F19" s="9" t="n">
        <f aca="false">SUM(F5:F18)</f>
        <v>0</v>
      </c>
      <c r="G19" s="9" t="n">
        <f aca="false">SUM(G5:G18)</f>
        <v>0</v>
      </c>
      <c r="H19" s="9" t="n">
        <f aca="false">SUM(H5:H18)</f>
        <v>114</v>
      </c>
      <c r="I19" s="10" t="n">
        <f aca="false">IF($C19=0,0,($C19-$H19)/$C19)</f>
        <v>0</v>
      </c>
    </row>
    <row r="22" customFormat="false" ht="15" hidden="false" customHeight="false" outlineLevel="0" collapsed="false">
      <c r="A22" s="11" t="s">
        <v>41</v>
      </c>
      <c r="B22" s="12" t="s">
        <v>42</v>
      </c>
    </row>
    <row r="23" customFormat="false" ht="15" hidden="false" customHeight="false" outlineLevel="0" collapsed="false">
      <c r="A23" s="11" t="s">
        <v>43</v>
      </c>
      <c r="B23" s="12"/>
    </row>
    <row r="24" customFormat="false" ht="15" hidden="false" customHeight="false" outlineLevel="0" collapsed="false">
      <c r="A24" s="11" t="s">
        <v>44</v>
      </c>
      <c r="B24" s="12"/>
    </row>
    <row r="25" customFormat="false" ht="15" hidden="false" customHeight="false" outlineLevel="0" collapsed="false">
      <c r="A25" s="11" t="s">
        <v>45</v>
      </c>
      <c r="B2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5" customFormat="false" ht="15" hidden="false" customHeight="false" outlineLevel="0" collapsed="false">
      <c r="A5" s="11" t="s">
        <v>48</v>
      </c>
      <c r="B5" s="13"/>
    </row>
    <row r="6" customFormat="false" ht="15" hidden="false" customHeight="false" outlineLevel="0" collapsed="false">
      <c r="A6" s="11" t="s">
        <v>49</v>
      </c>
      <c r="B6" s="13" t="s">
        <v>50</v>
      </c>
    </row>
    <row r="7" customFormat="false" ht="15" hidden="false" customHeight="false" outlineLevel="0" collapsed="false">
      <c r="A7" s="11" t="s">
        <v>51</v>
      </c>
      <c r="B7" s="13" t="s">
        <v>52</v>
      </c>
    </row>
    <row r="8" customFormat="false" ht="15" hidden="false" customHeight="false" outlineLevel="0" collapsed="false">
      <c r="A8" s="11" t="s">
        <v>53</v>
      </c>
      <c r="B8" s="13" t="s">
        <v>54</v>
      </c>
    </row>
    <row r="9" customFormat="false" ht="15" hidden="false" customHeight="false" outlineLevel="0" collapsed="false">
      <c r="A9" s="11" t="s">
        <v>55</v>
      </c>
      <c r="B9" s="13" t="s">
        <v>56</v>
      </c>
    </row>
    <row r="10" customFormat="false" ht="15" hidden="false" customHeight="false" outlineLevel="0" collapsed="false">
      <c r="A10" s="11" t="s">
        <v>57</v>
      </c>
      <c r="B10" s="13" t="s">
        <v>58</v>
      </c>
    </row>
    <row r="12" customFormat="false" ht="15" hidden="false" customHeight="false" outlineLevel="0" collapsed="false">
      <c r="A12" s="11" t="s">
        <v>59</v>
      </c>
      <c r="B12" s="13"/>
    </row>
    <row r="13" customFormat="false" ht="15" hidden="false" customHeight="false" outlineLevel="0" collapsed="false">
      <c r="A13" s="11"/>
      <c r="B13" s="13" t="s">
        <v>60</v>
      </c>
    </row>
    <row r="14" customFormat="false" ht="15" hidden="false" customHeight="false" outlineLevel="0" collapsed="false">
      <c r="A14" s="11"/>
      <c r="B14" s="13" t="s">
        <v>61</v>
      </c>
    </row>
    <row r="15" customFormat="false" ht="15" hidden="false" customHeight="false" outlineLevel="0" collapsed="false">
      <c r="A15" s="11"/>
      <c r="B15" s="13" t="s">
        <v>62</v>
      </c>
    </row>
    <row r="16" customFormat="false" ht="15" hidden="false" customHeight="false" outlineLevel="0" collapsed="false">
      <c r="A16" s="11"/>
      <c r="B16" s="13" t="s">
        <v>63</v>
      </c>
    </row>
    <row r="17" customFormat="false" ht="15" hidden="false" customHeight="false" outlineLevel="0" collapsed="false">
      <c r="A17" s="11"/>
      <c r="B17" s="13" t="s">
        <v>64</v>
      </c>
    </row>
    <row r="19" customFormat="false" ht="15" hidden="false" customHeight="false" outlineLevel="0" collapsed="false">
      <c r="A19" s="11" t="s">
        <v>65</v>
      </c>
      <c r="B19" s="13"/>
    </row>
    <row r="20" customFormat="false" ht="23.85" hidden="false" customHeight="false" outlineLevel="0" collapsed="false">
      <c r="A20" s="11" t="s">
        <v>66</v>
      </c>
      <c r="B20" s="13" t="s">
        <v>67</v>
      </c>
    </row>
    <row r="21" customFormat="false" ht="23.85" hidden="false" customHeight="false" outlineLevel="0" collapsed="false">
      <c r="A21" s="11" t="s">
        <v>66</v>
      </c>
      <c r="B21" s="13" t="s">
        <v>68</v>
      </c>
    </row>
    <row r="22" customFormat="false" ht="23.85" hidden="false" customHeight="false" outlineLevel="0" collapsed="false">
      <c r="A22" s="11" t="s">
        <v>66</v>
      </c>
      <c r="B22" s="13" t="s">
        <v>69</v>
      </c>
    </row>
    <row r="23" customFormat="false" ht="23.85" hidden="false" customHeight="false" outlineLevel="0" collapsed="false">
      <c r="A23" s="11" t="s">
        <v>66</v>
      </c>
      <c r="B23" s="13" t="s">
        <v>70</v>
      </c>
    </row>
    <row r="24" customFormat="false" ht="23.85" hidden="false" customHeight="false" outlineLevel="0" collapsed="false">
      <c r="A24" s="11" t="s">
        <v>66</v>
      </c>
      <c r="B24" s="13" t="s">
        <v>71</v>
      </c>
    </row>
    <row r="26" customFormat="false" ht="15" hidden="false" customHeight="false" outlineLevel="0" collapsed="false">
      <c r="A26" s="11" t="s">
        <v>72</v>
      </c>
      <c r="B26" s="13"/>
    </row>
    <row r="27" customFormat="false" ht="15" hidden="false" customHeight="false" outlineLevel="0" collapsed="false">
      <c r="A27" s="11" t="s">
        <v>73</v>
      </c>
      <c r="B27" s="13" t="s">
        <v>74</v>
      </c>
    </row>
    <row r="28" customFormat="false" ht="15" hidden="false" customHeight="false" outlineLevel="0" collapsed="false">
      <c r="A28" s="11" t="s">
        <v>75</v>
      </c>
      <c r="B28" s="13" t="s">
        <v>76</v>
      </c>
    </row>
    <row r="29" customFormat="false" ht="15" hidden="false" customHeight="false" outlineLevel="0" collapsed="false">
      <c r="A29" s="11" t="s">
        <v>77</v>
      </c>
      <c r="B29" s="13" t="s">
        <v>78</v>
      </c>
    </row>
    <row r="31" customFormat="false" ht="15" hidden="false" customHeight="false" outlineLevel="0" collapsed="false">
      <c r="A31" s="11" t="s">
        <v>79</v>
      </c>
      <c r="B31" s="13"/>
    </row>
    <row r="32" customFormat="false" ht="15" hidden="false" customHeight="false" outlineLevel="0" collapsed="false">
      <c r="A32" s="11" t="s">
        <v>66</v>
      </c>
      <c r="B32" s="13" t="s">
        <v>80</v>
      </c>
    </row>
    <row r="33" customFormat="false" ht="15" hidden="false" customHeight="false" outlineLevel="0" collapsed="false">
      <c r="A33" s="11" t="s">
        <v>66</v>
      </c>
      <c r="B33" s="13" t="s">
        <v>81</v>
      </c>
    </row>
    <row r="34" customFormat="false" ht="15" hidden="false" customHeight="false" outlineLevel="0" collapsed="false">
      <c r="A34" s="11" t="s">
        <v>66</v>
      </c>
      <c r="B34" s="13" t="s">
        <v>82</v>
      </c>
    </row>
    <row r="35" customFormat="false" ht="15" hidden="false" customHeight="false" outlineLevel="0" collapsed="false">
      <c r="A35" s="11" t="s">
        <v>66</v>
      </c>
      <c r="B35" s="13" t="s">
        <v>83</v>
      </c>
    </row>
    <row r="36" customFormat="false" ht="15" hidden="false" customHeight="false" outlineLevel="0" collapsed="false">
      <c r="A36" s="11" t="s">
        <v>66</v>
      </c>
      <c r="B36" s="13" t="s">
        <v>84</v>
      </c>
    </row>
    <row r="37" customFormat="false" ht="15" hidden="false" customHeight="false" outlineLevel="0" collapsed="false">
      <c r="A37" s="11" t="s">
        <v>66</v>
      </c>
      <c r="B37" s="1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52"/>
    <col collapsed="false" customWidth="true" hidden="false" outlineLevel="0" max="7" min="7" style="0" width="62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26.85" hidden="false" customHeight="false" outlineLevel="0" collapsed="false">
      <c r="A1" s="3" t="s">
        <v>86</v>
      </c>
      <c r="B1" s="3" t="s">
        <v>2</v>
      </c>
      <c r="C1" s="3" t="s">
        <v>3</v>
      </c>
      <c r="D1" s="3" t="s">
        <v>87</v>
      </c>
      <c r="E1" s="3" t="s">
        <v>88</v>
      </c>
      <c r="F1" s="3" t="s">
        <v>89</v>
      </c>
      <c r="G1" s="3" t="s">
        <v>90</v>
      </c>
      <c r="H1" s="3" t="s">
        <v>91</v>
      </c>
      <c r="I1" s="3" t="s">
        <v>92</v>
      </c>
    </row>
    <row r="2" customFormat="false" ht="35.05" hidden="false" customHeight="false" outlineLevel="0" collapsed="false">
      <c r="A2" s="14" t="s">
        <v>93</v>
      </c>
      <c r="B2" s="6" t="s">
        <v>11</v>
      </c>
      <c r="C2" s="6" t="s">
        <v>12</v>
      </c>
      <c r="D2" s="15" t="s">
        <v>73</v>
      </c>
      <c r="E2" s="16" t="s">
        <v>94</v>
      </c>
      <c r="F2" s="16" t="s">
        <v>95</v>
      </c>
      <c r="G2" s="16" t="s">
        <v>96</v>
      </c>
      <c r="H2" s="6" t="s">
        <v>9</v>
      </c>
      <c r="I2" s="16"/>
    </row>
    <row r="3" customFormat="false" ht="23.85" hidden="false" customHeight="false" outlineLevel="0" collapsed="false">
      <c r="A3" s="14" t="s">
        <v>97</v>
      </c>
      <c r="B3" s="6" t="s">
        <v>11</v>
      </c>
      <c r="C3" s="6" t="s">
        <v>12</v>
      </c>
      <c r="D3" s="17" t="s">
        <v>75</v>
      </c>
      <c r="E3" s="16" t="s">
        <v>98</v>
      </c>
      <c r="F3" s="16" t="s">
        <v>99</v>
      </c>
      <c r="G3" s="16" t="s">
        <v>100</v>
      </c>
      <c r="H3" s="6" t="s">
        <v>9</v>
      </c>
      <c r="I3" s="16"/>
    </row>
    <row r="4" customFormat="false" ht="15" hidden="false" customHeight="false" outlineLevel="0" collapsed="false">
      <c r="A4" s="14" t="s">
        <v>101</v>
      </c>
      <c r="B4" s="6" t="s">
        <v>11</v>
      </c>
      <c r="C4" s="6" t="s">
        <v>12</v>
      </c>
      <c r="D4" s="18" t="s">
        <v>77</v>
      </c>
      <c r="E4" s="16" t="s">
        <v>102</v>
      </c>
      <c r="F4" s="16" t="s">
        <v>103</v>
      </c>
      <c r="G4" s="16" t="s">
        <v>104</v>
      </c>
      <c r="H4" s="6" t="s">
        <v>9</v>
      </c>
      <c r="I4" s="16"/>
    </row>
    <row r="5" customFormat="false" ht="15" hidden="false" customHeight="false" outlineLevel="0" collapsed="false">
      <c r="A5" s="14" t="s">
        <v>105</v>
      </c>
      <c r="B5" s="6" t="s">
        <v>11</v>
      </c>
      <c r="C5" s="6" t="s">
        <v>12</v>
      </c>
      <c r="D5" s="18" t="s">
        <v>77</v>
      </c>
      <c r="E5" s="16" t="s">
        <v>106</v>
      </c>
      <c r="F5" s="16" t="s">
        <v>107</v>
      </c>
      <c r="G5" s="16" t="s">
        <v>108</v>
      </c>
      <c r="H5" s="6" t="s">
        <v>9</v>
      </c>
      <c r="I5" s="16"/>
    </row>
    <row r="6" customFormat="false" ht="23.85" hidden="false" customHeight="false" outlineLevel="0" collapsed="false">
      <c r="A6" s="14" t="s">
        <v>109</v>
      </c>
      <c r="B6" s="6" t="s">
        <v>13</v>
      </c>
      <c r="C6" s="6" t="s">
        <v>14</v>
      </c>
      <c r="D6" s="15" t="s">
        <v>73</v>
      </c>
      <c r="E6" s="16" t="s">
        <v>110</v>
      </c>
      <c r="F6" s="16" t="s">
        <v>111</v>
      </c>
      <c r="G6" s="16" t="s">
        <v>112</v>
      </c>
      <c r="H6" s="6" t="s">
        <v>9</v>
      </c>
      <c r="I6" s="16"/>
    </row>
    <row r="7" customFormat="false" ht="15" hidden="false" customHeight="false" outlineLevel="0" collapsed="false">
      <c r="A7" s="14" t="s">
        <v>113</v>
      </c>
      <c r="B7" s="6" t="s">
        <v>13</v>
      </c>
      <c r="C7" s="6" t="s">
        <v>14</v>
      </c>
      <c r="D7" s="18" t="s">
        <v>77</v>
      </c>
      <c r="E7" s="16" t="s">
        <v>114</v>
      </c>
      <c r="F7" s="16" t="s">
        <v>115</v>
      </c>
      <c r="G7" s="16" t="s">
        <v>116</v>
      </c>
      <c r="H7" s="6" t="s">
        <v>9</v>
      </c>
      <c r="I7" s="16"/>
    </row>
    <row r="8" customFormat="false" ht="15" hidden="false" customHeight="false" outlineLevel="0" collapsed="false">
      <c r="A8" s="14" t="s">
        <v>117</v>
      </c>
      <c r="B8" s="6" t="s">
        <v>13</v>
      </c>
      <c r="C8" s="6" t="s">
        <v>14</v>
      </c>
      <c r="D8" s="17" t="s">
        <v>75</v>
      </c>
      <c r="E8" s="16" t="s">
        <v>118</v>
      </c>
      <c r="F8" s="16" t="s">
        <v>119</v>
      </c>
      <c r="G8" s="16" t="s">
        <v>120</v>
      </c>
      <c r="H8" s="6" t="s">
        <v>9</v>
      </c>
      <c r="I8" s="16"/>
    </row>
    <row r="9" customFormat="false" ht="46.25" hidden="false" customHeight="false" outlineLevel="0" collapsed="false">
      <c r="A9" s="14" t="s">
        <v>121</v>
      </c>
      <c r="B9" s="6" t="s">
        <v>13</v>
      </c>
      <c r="C9" s="6" t="s">
        <v>14</v>
      </c>
      <c r="D9" s="15" t="s">
        <v>73</v>
      </c>
      <c r="E9" s="16" t="s">
        <v>122</v>
      </c>
      <c r="F9" s="16" t="s">
        <v>123</v>
      </c>
      <c r="G9" s="16" t="s">
        <v>124</v>
      </c>
      <c r="H9" s="6" t="s">
        <v>9</v>
      </c>
      <c r="I9" s="16"/>
    </row>
    <row r="10" customFormat="false" ht="23.85" hidden="false" customHeight="false" outlineLevel="0" collapsed="false">
      <c r="A10" s="14" t="s">
        <v>125</v>
      </c>
      <c r="B10" s="6" t="s">
        <v>13</v>
      </c>
      <c r="C10" s="6" t="s">
        <v>14</v>
      </c>
      <c r="D10" s="17" t="s">
        <v>75</v>
      </c>
      <c r="E10" s="16" t="s">
        <v>126</v>
      </c>
      <c r="F10" s="16" t="s">
        <v>127</v>
      </c>
      <c r="G10" s="16" t="s">
        <v>128</v>
      </c>
      <c r="H10" s="6" t="s">
        <v>9</v>
      </c>
      <c r="I10" s="16"/>
    </row>
    <row r="11" customFormat="false" ht="23.85" hidden="false" customHeight="false" outlineLevel="0" collapsed="false">
      <c r="A11" s="14" t="s">
        <v>129</v>
      </c>
      <c r="B11" s="6" t="s">
        <v>13</v>
      </c>
      <c r="C11" s="6" t="s">
        <v>14</v>
      </c>
      <c r="D11" s="17" t="s">
        <v>75</v>
      </c>
      <c r="E11" s="16" t="s">
        <v>130</v>
      </c>
      <c r="F11" s="16" t="s">
        <v>131</v>
      </c>
      <c r="G11" s="16" t="s">
        <v>132</v>
      </c>
      <c r="H11" s="6" t="s">
        <v>9</v>
      </c>
      <c r="I11" s="16"/>
    </row>
    <row r="12" customFormat="false" ht="15" hidden="false" customHeight="false" outlineLevel="0" collapsed="false">
      <c r="A12" s="14" t="s">
        <v>133</v>
      </c>
      <c r="B12" s="6" t="s">
        <v>13</v>
      </c>
      <c r="C12" s="6" t="s">
        <v>14</v>
      </c>
      <c r="D12" s="17" t="s">
        <v>75</v>
      </c>
      <c r="E12" s="16" t="s">
        <v>134</v>
      </c>
      <c r="F12" s="16" t="s">
        <v>135</v>
      </c>
      <c r="G12" s="16" t="s">
        <v>136</v>
      </c>
      <c r="H12" s="6" t="s">
        <v>9</v>
      </c>
      <c r="I12" s="16"/>
    </row>
    <row r="13" customFormat="false" ht="15" hidden="false" customHeight="false" outlineLevel="0" collapsed="false">
      <c r="A13" s="14" t="s">
        <v>137</v>
      </c>
      <c r="B13" s="6" t="s">
        <v>13</v>
      </c>
      <c r="C13" s="6" t="s">
        <v>14</v>
      </c>
      <c r="D13" s="18" t="s">
        <v>77</v>
      </c>
      <c r="E13" s="16" t="s">
        <v>138</v>
      </c>
      <c r="F13" s="16" t="s">
        <v>139</v>
      </c>
      <c r="G13" s="16" t="s">
        <v>140</v>
      </c>
      <c r="H13" s="6" t="s">
        <v>9</v>
      </c>
      <c r="I13" s="16"/>
    </row>
    <row r="14" customFormat="false" ht="23.85" hidden="false" customHeight="false" outlineLevel="0" collapsed="false">
      <c r="A14" s="14" t="s">
        <v>141</v>
      </c>
      <c r="B14" s="6" t="s">
        <v>13</v>
      </c>
      <c r="C14" s="6" t="s">
        <v>14</v>
      </c>
      <c r="D14" s="17" t="s">
        <v>75</v>
      </c>
      <c r="E14" s="16" t="s">
        <v>142</v>
      </c>
      <c r="F14" s="16" t="s">
        <v>143</v>
      </c>
      <c r="G14" s="16" t="s">
        <v>144</v>
      </c>
      <c r="H14" s="6" t="s">
        <v>9</v>
      </c>
      <c r="I14" s="16"/>
    </row>
    <row r="15" customFormat="false" ht="15" hidden="false" customHeight="false" outlineLevel="0" collapsed="false">
      <c r="A15" s="14" t="s">
        <v>145</v>
      </c>
      <c r="B15" s="6" t="s">
        <v>13</v>
      </c>
      <c r="C15" s="6" t="s">
        <v>14</v>
      </c>
      <c r="D15" s="17" t="s">
        <v>75</v>
      </c>
      <c r="E15" s="16" t="s">
        <v>146</v>
      </c>
      <c r="F15" s="16" t="s">
        <v>147</v>
      </c>
      <c r="G15" s="16" t="s">
        <v>148</v>
      </c>
      <c r="H15" s="6" t="s">
        <v>9</v>
      </c>
      <c r="I15" s="16"/>
    </row>
    <row r="16" customFormat="false" ht="23.85" hidden="false" customHeight="false" outlineLevel="0" collapsed="false">
      <c r="A16" s="14" t="s">
        <v>149</v>
      </c>
      <c r="B16" s="6" t="s">
        <v>13</v>
      </c>
      <c r="C16" s="6" t="s">
        <v>14</v>
      </c>
      <c r="D16" s="15" t="s">
        <v>73</v>
      </c>
      <c r="E16" s="16" t="s">
        <v>150</v>
      </c>
      <c r="F16" s="16" t="s">
        <v>151</v>
      </c>
      <c r="G16" s="16" t="s">
        <v>152</v>
      </c>
      <c r="H16" s="6" t="s">
        <v>9</v>
      </c>
      <c r="I16" s="16"/>
    </row>
    <row r="17" customFormat="false" ht="15" hidden="false" customHeight="false" outlineLevel="0" collapsed="false">
      <c r="A17" s="14" t="s">
        <v>153</v>
      </c>
      <c r="B17" s="6" t="s">
        <v>13</v>
      </c>
      <c r="C17" s="6" t="s">
        <v>14</v>
      </c>
      <c r="D17" s="17" t="s">
        <v>75</v>
      </c>
      <c r="E17" s="16" t="s">
        <v>154</v>
      </c>
      <c r="F17" s="16" t="s">
        <v>155</v>
      </c>
      <c r="G17" s="16" t="s">
        <v>156</v>
      </c>
      <c r="H17" s="6" t="s">
        <v>9</v>
      </c>
      <c r="I17" s="16"/>
    </row>
    <row r="18" customFormat="false" ht="15" hidden="false" customHeight="false" outlineLevel="0" collapsed="false">
      <c r="A18" s="14" t="s">
        <v>157</v>
      </c>
      <c r="B18" s="6" t="s">
        <v>13</v>
      </c>
      <c r="C18" s="6" t="s">
        <v>14</v>
      </c>
      <c r="D18" s="18" t="s">
        <v>77</v>
      </c>
      <c r="E18" s="16" t="s">
        <v>158</v>
      </c>
      <c r="F18" s="16" t="s">
        <v>159</v>
      </c>
      <c r="G18" s="16" t="s">
        <v>160</v>
      </c>
      <c r="H18" s="6" t="s">
        <v>9</v>
      </c>
      <c r="I18" s="16"/>
    </row>
    <row r="19" customFormat="false" ht="23.85" hidden="false" customHeight="false" outlineLevel="0" collapsed="false">
      <c r="A19" s="14" t="s">
        <v>161</v>
      </c>
      <c r="B19" s="6" t="s">
        <v>15</v>
      </c>
      <c r="C19" s="6" t="s">
        <v>16</v>
      </c>
      <c r="D19" s="15" t="s">
        <v>73</v>
      </c>
      <c r="E19" s="16" t="s">
        <v>162</v>
      </c>
      <c r="F19" s="16" t="s">
        <v>163</v>
      </c>
      <c r="G19" s="16" t="s">
        <v>164</v>
      </c>
      <c r="H19" s="6" t="s">
        <v>9</v>
      </c>
      <c r="I19" s="16"/>
    </row>
    <row r="20" customFormat="false" ht="15" hidden="false" customHeight="false" outlineLevel="0" collapsed="false">
      <c r="A20" s="14" t="s">
        <v>165</v>
      </c>
      <c r="B20" s="6" t="s">
        <v>15</v>
      </c>
      <c r="C20" s="6" t="s">
        <v>16</v>
      </c>
      <c r="D20" s="15" t="s">
        <v>73</v>
      </c>
      <c r="E20" s="16" t="s">
        <v>166</v>
      </c>
      <c r="F20" s="16" t="s">
        <v>167</v>
      </c>
      <c r="G20" s="16" t="s">
        <v>168</v>
      </c>
      <c r="H20" s="6" t="s">
        <v>9</v>
      </c>
      <c r="I20" s="16"/>
    </row>
    <row r="21" customFormat="false" ht="15" hidden="false" customHeight="false" outlineLevel="0" collapsed="false">
      <c r="A21" s="14" t="s">
        <v>169</v>
      </c>
      <c r="B21" s="6" t="s">
        <v>15</v>
      </c>
      <c r="C21" s="6" t="s">
        <v>16</v>
      </c>
      <c r="D21" s="17" t="s">
        <v>75</v>
      </c>
      <c r="E21" s="16" t="s">
        <v>170</v>
      </c>
      <c r="F21" s="16" t="s">
        <v>171</v>
      </c>
      <c r="G21" s="16" t="s">
        <v>172</v>
      </c>
      <c r="H21" s="6" t="s">
        <v>9</v>
      </c>
      <c r="I21" s="16"/>
    </row>
    <row r="22" customFormat="false" ht="15" hidden="false" customHeight="false" outlineLevel="0" collapsed="false">
      <c r="A22" s="14" t="s">
        <v>173</v>
      </c>
      <c r="B22" s="6" t="s">
        <v>15</v>
      </c>
      <c r="C22" s="6" t="s">
        <v>16</v>
      </c>
      <c r="D22" s="17" t="s">
        <v>75</v>
      </c>
      <c r="E22" s="16" t="s">
        <v>174</v>
      </c>
      <c r="F22" s="16" t="s">
        <v>175</v>
      </c>
      <c r="G22" s="16" t="s">
        <v>176</v>
      </c>
      <c r="H22" s="6" t="s">
        <v>9</v>
      </c>
      <c r="I22" s="16"/>
    </row>
    <row r="23" customFormat="false" ht="15" hidden="false" customHeight="false" outlineLevel="0" collapsed="false">
      <c r="A23" s="14" t="s">
        <v>177</v>
      </c>
      <c r="B23" s="6" t="s">
        <v>15</v>
      </c>
      <c r="C23" s="6" t="s">
        <v>16</v>
      </c>
      <c r="D23" s="17" t="s">
        <v>75</v>
      </c>
      <c r="E23" s="16" t="s">
        <v>178</v>
      </c>
      <c r="F23" s="16" t="s">
        <v>179</v>
      </c>
      <c r="G23" s="16" t="s">
        <v>180</v>
      </c>
      <c r="H23" s="6" t="s">
        <v>9</v>
      </c>
      <c r="I23" s="16"/>
    </row>
    <row r="24" customFormat="false" ht="15" hidden="false" customHeight="false" outlineLevel="0" collapsed="false">
      <c r="A24" s="14" t="s">
        <v>181</v>
      </c>
      <c r="B24" s="6" t="s">
        <v>15</v>
      </c>
      <c r="C24" s="6" t="s">
        <v>16</v>
      </c>
      <c r="D24" s="17" t="s">
        <v>75</v>
      </c>
      <c r="E24" s="16" t="s">
        <v>182</v>
      </c>
      <c r="F24" s="16" t="s">
        <v>183</v>
      </c>
      <c r="G24" s="16" t="s">
        <v>184</v>
      </c>
      <c r="H24" s="6" t="s">
        <v>9</v>
      </c>
      <c r="I24" s="16"/>
    </row>
    <row r="25" customFormat="false" ht="15" hidden="false" customHeight="false" outlineLevel="0" collapsed="false">
      <c r="A25" s="14" t="s">
        <v>185</v>
      </c>
      <c r="B25" s="6" t="s">
        <v>15</v>
      </c>
      <c r="C25" s="6" t="s">
        <v>16</v>
      </c>
      <c r="D25" s="17" t="s">
        <v>75</v>
      </c>
      <c r="E25" s="16" t="s">
        <v>186</v>
      </c>
      <c r="F25" s="16" t="s">
        <v>187</v>
      </c>
      <c r="G25" s="16" t="s">
        <v>188</v>
      </c>
      <c r="H25" s="6" t="s">
        <v>9</v>
      </c>
      <c r="I25" s="16"/>
    </row>
    <row r="26" customFormat="false" ht="15" hidden="false" customHeight="false" outlineLevel="0" collapsed="false">
      <c r="A26" s="14" t="s">
        <v>189</v>
      </c>
      <c r="B26" s="6" t="s">
        <v>15</v>
      </c>
      <c r="C26" s="6" t="s">
        <v>16</v>
      </c>
      <c r="D26" s="18" t="s">
        <v>77</v>
      </c>
      <c r="E26" s="16" t="s">
        <v>190</v>
      </c>
      <c r="F26" s="16" t="s">
        <v>191</v>
      </c>
      <c r="G26" s="16" t="s">
        <v>192</v>
      </c>
      <c r="H26" s="6" t="s">
        <v>9</v>
      </c>
      <c r="I26" s="16"/>
    </row>
    <row r="27" customFormat="false" ht="15" hidden="false" customHeight="false" outlineLevel="0" collapsed="false">
      <c r="A27" s="14" t="s">
        <v>193</v>
      </c>
      <c r="B27" s="6" t="s">
        <v>15</v>
      </c>
      <c r="C27" s="6" t="s">
        <v>16</v>
      </c>
      <c r="D27" s="18" t="s">
        <v>77</v>
      </c>
      <c r="E27" s="16" t="s">
        <v>194</v>
      </c>
      <c r="F27" s="16" t="s">
        <v>195</v>
      </c>
      <c r="G27" s="16" t="s">
        <v>196</v>
      </c>
      <c r="H27" s="6" t="s">
        <v>9</v>
      </c>
      <c r="I27" s="16"/>
    </row>
    <row r="28" customFormat="false" ht="15" hidden="false" customHeight="false" outlineLevel="0" collapsed="false">
      <c r="A28" s="14" t="s">
        <v>197</v>
      </c>
      <c r="B28" s="6" t="s">
        <v>15</v>
      </c>
      <c r="C28" s="6" t="s">
        <v>16</v>
      </c>
      <c r="D28" s="18" t="s">
        <v>77</v>
      </c>
      <c r="E28" s="16" t="s">
        <v>198</v>
      </c>
      <c r="F28" s="16" t="s">
        <v>199</v>
      </c>
      <c r="G28" s="16" t="s">
        <v>200</v>
      </c>
      <c r="H28" s="6" t="s">
        <v>9</v>
      </c>
      <c r="I28" s="16"/>
    </row>
    <row r="29" customFormat="false" ht="15" hidden="false" customHeight="false" outlineLevel="0" collapsed="false">
      <c r="A29" s="14" t="s">
        <v>201</v>
      </c>
      <c r="B29" s="6" t="s">
        <v>15</v>
      </c>
      <c r="C29" s="6" t="s">
        <v>16</v>
      </c>
      <c r="D29" s="18" t="s">
        <v>77</v>
      </c>
      <c r="E29" s="16" t="s">
        <v>202</v>
      </c>
      <c r="F29" s="16" t="s">
        <v>203</v>
      </c>
      <c r="G29" s="16" t="s">
        <v>204</v>
      </c>
      <c r="H29" s="6" t="s">
        <v>9</v>
      </c>
      <c r="I29" s="16"/>
    </row>
    <row r="30" customFormat="false" ht="15" hidden="false" customHeight="false" outlineLevel="0" collapsed="false">
      <c r="A30" s="14" t="s">
        <v>205</v>
      </c>
      <c r="B30" s="6" t="s">
        <v>15</v>
      </c>
      <c r="C30" s="6" t="s">
        <v>16</v>
      </c>
      <c r="D30" s="18" t="s">
        <v>77</v>
      </c>
      <c r="E30" s="16" t="s">
        <v>206</v>
      </c>
      <c r="F30" s="16" t="s">
        <v>207</v>
      </c>
      <c r="G30" s="16" t="s">
        <v>208</v>
      </c>
      <c r="H30" s="6" t="s">
        <v>9</v>
      </c>
      <c r="I30" s="16"/>
    </row>
    <row r="31" customFormat="false" ht="35.05" hidden="false" customHeight="false" outlineLevel="0" collapsed="false">
      <c r="A31" s="14" t="s">
        <v>209</v>
      </c>
      <c r="B31" s="6" t="s">
        <v>17</v>
      </c>
      <c r="C31" s="6" t="s">
        <v>18</v>
      </c>
      <c r="D31" s="15" t="s">
        <v>73</v>
      </c>
      <c r="E31" s="16" t="s">
        <v>210</v>
      </c>
      <c r="F31" s="16" t="s">
        <v>211</v>
      </c>
      <c r="G31" s="16" t="s">
        <v>212</v>
      </c>
      <c r="H31" s="6" t="s">
        <v>9</v>
      </c>
      <c r="I31" s="16"/>
    </row>
    <row r="32" customFormat="false" ht="15" hidden="false" customHeight="false" outlineLevel="0" collapsed="false">
      <c r="A32" s="14" t="s">
        <v>213</v>
      </c>
      <c r="B32" s="6" t="s">
        <v>17</v>
      </c>
      <c r="C32" s="6" t="s">
        <v>18</v>
      </c>
      <c r="D32" s="15" t="s">
        <v>73</v>
      </c>
      <c r="E32" s="16" t="s">
        <v>214</v>
      </c>
      <c r="F32" s="16" t="s">
        <v>215</v>
      </c>
      <c r="G32" s="16" t="s">
        <v>216</v>
      </c>
      <c r="H32" s="6" t="s">
        <v>9</v>
      </c>
      <c r="I32" s="16"/>
    </row>
    <row r="33" customFormat="false" ht="15" hidden="false" customHeight="false" outlineLevel="0" collapsed="false">
      <c r="A33" s="14" t="s">
        <v>217</v>
      </c>
      <c r="B33" s="6" t="s">
        <v>17</v>
      </c>
      <c r="C33" s="6" t="s">
        <v>18</v>
      </c>
      <c r="D33" s="15" t="s">
        <v>73</v>
      </c>
      <c r="E33" s="16" t="s">
        <v>218</v>
      </c>
      <c r="F33" s="16" t="s">
        <v>219</v>
      </c>
      <c r="G33" s="16" t="s">
        <v>220</v>
      </c>
      <c r="H33" s="6" t="s">
        <v>9</v>
      </c>
      <c r="I33" s="16"/>
    </row>
    <row r="34" customFormat="false" ht="23.85" hidden="false" customHeight="false" outlineLevel="0" collapsed="false">
      <c r="A34" s="14" t="s">
        <v>221</v>
      </c>
      <c r="B34" s="6" t="s">
        <v>17</v>
      </c>
      <c r="C34" s="6" t="s">
        <v>18</v>
      </c>
      <c r="D34" s="15" t="s">
        <v>73</v>
      </c>
      <c r="E34" s="16" t="s">
        <v>222</v>
      </c>
      <c r="F34" s="16" t="s">
        <v>223</v>
      </c>
      <c r="G34" s="16" t="s">
        <v>224</v>
      </c>
      <c r="H34" s="6" t="s">
        <v>9</v>
      </c>
      <c r="I34" s="16"/>
    </row>
    <row r="35" customFormat="false" ht="15" hidden="false" customHeight="false" outlineLevel="0" collapsed="false">
      <c r="A35" s="14" t="s">
        <v>225</v>
      </c>
      <c r="B35" s="6" t="s">
        <v>17</v>
      </c>
      <c r="C35" s="6" t="s">
        <v>18</v>
      </c>
      <c r="D35" s="17" t="s">
        <v>75</v>
      </c>
      <c r="E35" s="16" t="s">
        <v>226</v>
      </c>
      <c r="F35" s="16" t="s">
        <v>227</v>
      </c>
      <c r="G35" s="16" t="s">
        <v>228</v>
      </c>
      <c r="H35" s="6" t="s">
        <v>9</v>
      </c>
      <c r="I35" s="16"/>
    </row>
    <row r="36" customFormat="false" ht="23.85" hidden="false" customHeight="false" outlineLevel="0" collapsed="false">
      <c r="A36" s="14" t="s">
        <v>229</v>
      </c>
      <c r="B36" s="6" t="s">
        <v>17</v>
      </c>
      <c r="C36" s="6" t="s">
        <v>18</v>
      </c>
      <c r="D36" s="17" t="s">
        <v>75</v>
      </c>
      <c r="E36" s="16" t="s">
        <v>230</v>
      </c>
      <c r="F36" s="16" t="s">
        <v>231</v>
      </c>
      <c r="G36" s="16" t="s">
        <v>232</v>
      </c>
      <c r="H36" s="6" t="s">
        <v>9</v>
      </c>
      <c r="I36" s="16"/>
    </row>
    <row r="37" customFormat="false" ht="23.85" hidden="false" customHeight="false" outlineLevel="0" collapsed="false">
      <c r="A37" s="14" t="s">
        <v>233</v>
      </c>
      <c r="B37" s="6" t="s">
        <v>17</v>
      </c>
      <c r="C37" s="6" t="s">
        <v>18</v>
      </c>
      <c r="D37" s="17" t="s">
        <v>75</v>
      </c>
      <c r="E37" s="16" t="s">
        <v>234</v>
      </c>
      <c r="F37" s="16" t="s">
        <v>235</v>
      </c>
      <c r="G37" s="16" t="s">
        <v>236</v>
      </c>
      <c r="H37" s="6" t="s">
        <v>9</v>
      </c>
      <c r="I37" s="16"/>
    </row>
    <row r="38" customFormat="false" ht="15" hidden="false" customHeight="false" outlineLevel="0" collapsed="false">
      <c r="A38" s="14" t="s">
        <v>237</v>
      </c>
      <c r="B38" s="6" t="s">
        <v>17</v>
      </c>
      <c r="C38" s="6" t="s">
        <v>18</v>
      </c>
      <c r="D38" s="18" t="s">
        <v>77</v>
      </c>
      <c r="E38" s="16" t="s">
        <v>238</v>
      </c>
      <c r="F38" s="16" t="s">
        <v>239</v>
      </c>
      <c r="G38" s="16" t="s">
        <v>240</v>
      </c>
      <c r="H38" s="6" t="s">
        <v>9</v>
      </c>
      <c r="I38" s="16"/>
    </row>
    <row r="39" customFormat="false" ht="35.05" hidden="false" customHeight="false" outlineLevel="0" collapsed="false">
      <c r="A39" s="14" t="s">
        <v>241</v>
      </c>
      <c r="B39" s="6" t="s">
        <v>19</v>
      </c>
      <c r="C39" s="6" t="s">
        <v>20</v>
      </c>
      <c r="D39" s="15" t="s">
        <v>73</v>
      </c>
      <c r="E39" s="16" t="s">
        <v>242</v>
      </c>
      <c r="F39" s="16" t="s">
        <v>243</v>
      </c>
      <c r="G39" s="16" t="s">
        <v>244</v>
      </c>
      <c r="H39" s="6" t="s">
        <v>9</v>
      </c>
      <c r="I39" s="16"/>
    </row>
    <row r="40" customFormat="false" ht="46.25" hidden="false" customHeight="false" outlineLevel="0" collapsed="false">
      <c r="A40" s="14" t="s">
        <v>245</v>
      </c>
      <c r="B40" s="6" t="s">
        <v>19</v>
      </c>
      <c r="C40" s="6" t="s">
        <v>20</v>
      </c>
      <c r="D40" s="15" t="s">
        <v>73</v>
      </c>
      <c r="E40" s="16" t="s">
        <v>246</v>
      </c>
      <c r="F40" s="16" t="s">
        <v>247</v>
      </c>
      <c r="G40" s="16" t="s">
        <v>248</v>
      </c>
      <c r="H40" s="6" t="s">
        <v>9</v>
      </c>
      <c r="I40" s="16"/>
    </row>
    <row r="41" customFormat="false" ht="23.85" hidden="false" customHeight="false" outlineLevel="0" collapsed="false">
      <c r="A41" s="14" t="s">
        <v>249</v>
      </c>
      <c r="B41" s="6" t="s">
        <v>19</v>
      </c>
      <c r="C41" s="6" t="s">
        <v>20</v>
      </c>
      <c r="D41" s="15" t="s">
        <v>73</v>
      </c>
      <c r="E41" s="16" t="s">
        <v>250</v>
      </c>
      <c r="F41" s="16" t="s">
        <v>251</v>
      </c>
      <c r="G41" s="16" t="s">
        <v>252</v>
      </c>
      <c r="H41" s="6" t="s">
        <v>9</v>
      </c>
      <c r="I41" s="16"/>
    </row>
    <row r="42" customFormat="false" ht="23.85" hidden="false" customHeight="false" outlineLevel="0" collapsed="false">
      <c r="A42" s="14" t="s">
        <v>253</v>
      </c>
      <c r="B42" s="6" t="s">
        <v>19</v>
      </c>
      <c r="C42" s="6" t="s">
        <v>20</v>
      </c>
      <c r="D42" s="17" t="s">
        <v>75</v>
      </c>
      <c r="E42" s="16" t="s">
        <v>254</v>
      </c>
      <c r="F42" s="16" t="s">
        <v>255</v>
      </c>
      <c r="G42" s="16" t="s">
        <v>256</v>
      </c>
      <c r="H42" s="6" t="s">
        <v>9</v>
      </c>
      <c r="I42" s="16"/>
    </row>
    <row r="43" customFormat="false" ht="23.85" hidden="false" customHeight="false" outlineLevel="0" collapsed="false">
      <c r="A43" s="14" t="s">
        <v>257</v>
      </c>
      <c r="B43" s="6" t="s">
        <v>19</v>
      </c>
      <c r="C43" s="6" t="s">
        <v>20</v>
      </c>
      <c r="D43" s="17" t="s">
        <v>75</v>
      </c>
      <c r="E43" s="16" t="s">
        <v>258</v>
      </c>
      <c r="F43" s="16" t="s">
        <v>259</v>
      </c>
      <c r="G43" s="16" t="s">
        <v>260</v>
      </c>
      <c r="H43" s="6" t="s">
        <v>9</v>
      </c>
      <c r="I43" s="16"/>
    </row>
    <row r="44" customFormat="false" ht="15" hidden="false" customHeight="false" outlineLevel="0" collapsed="false">
      <c r="A44" s="14" t="s">
        <v>261</v>
      </c>
      <c r="B44" s="6" t="s">
        <v>19</v>
      </c>
      <c r="C44" s="6" t="s">
        <v>20</v>
      </c>
      <c r="D44" s="15" t="s">
        <v>73</v>
      </c>
      <c r="E44" s="16" t="s">
        <v>262</v>
      </c>
      <c r="F44" s="16" t="s">
        <v>263</v>
      </c>
      <c r="G44" s="16" t="s">
        <v>264</v>
      </c>
      <c r="H44" s="6" t="s">
        <v>9</v>
      </c>
      <c r="I44" s="16"/>
    </row>
    <row r="45" customFormat="false" ht="15" hidden="false" customHeight="false" outlineLevel="0" collapsed="false">
      <c r="A45" s="14" t="s">
        <v>265</v>
      </c>
      <c r="B45" s="6" t="s">
        <v>19</v>
      </c>
      <c r="C45" s="6" t="s">
        <v>20</v>
      </c>
      <c r="D45" s="17" t="s">
        <v>75</v>
      </c>
      <c r="E45" s="16" t="s">
        <v>266</v>
      </c>
      <c r="F45" s="16" t="s">
        <v>267</v>
      </c>
      <c r="G45" s="16" t="s">
        <v>268</v>
      </c>
      <c r="H45" s="6" t="s">
        <v>9</v>
      </c>
      <c r="I45" s="16"/>
    </row>
    <row r="46" customFormat="false" ht="15" hidden="false" customHeight="false" outlineLevel="0" collapsed="false">
      <c r="A46" s="14" t="s">
        <v>269</v>
      </c>
      <c r="B46" s="6" t="s">
        <v>19</v>
      </c>
      <c r="C46" s="6" t="s">
        <v>20</v>
      </c>
      <c r="D46" s="18" t="s">
        <v>77</v>
      </c>
      <c r="E46" s="16" t="s">
        <v>270</v>
      </c>
      <c r="F46" s="16" t="s">
        <v>271</v>
      </c>
      <c r="G46" s="16" t="s">
        <v>272</v>
      </c>
      <c r="H46" s="6" t="s">
        <v>9</v>
      </c>
      <c r="I46" s="16"/>
    </row>
    <row r="47" customFormat="false" ht="35.05" hidden="false" customHeight="false" outlineLevel="0" collapsed="false">
      <c r="A47" s="14" t="s">
        <v>273</v>
      </c>
      <c r="B47" s="6" t="s">
        <v>19</v>
      </c>
      <c r="C47" s="6" t="s">
        <v>20</v>
      </c>
      <c r="D47" s="18" t="s">
        <v>77</v>
      </c>
      <c r="E47" s="16" t="s">
        <v>274</v>
      </c>
      <c r="F47" s="16" t="s">
        <v>275</v>
      </c>
      <c r="G47" s="16" t="s">
        <v>276</v>
      </c>
      <c r="H47" s="6" t="s">
        <v>9</v>
      </c>
      <c r="I47" s="16"/>
    </row>
    <row r="48" customFormat="false" ht="23.85" hidden="false" customHeight="false" outlineLevel="0" collapsed="false">
      <c r="A48" s="14" t="s">
        <v>277</v>
      </c>
      <c r="B48" s="6" t="s">
        <v>19</v>
      </c>
      <c r="C48" s="6" t="s">
        <v>20</v>
      </c>
      <c r="D48" s="18" t="s">
        <v>77</v>
      </c>
      <c r="E48" s="16" t="s">
        <v>278</v>
      </c>
      <c r="F48" s="16" t="s">
        <v>279</v>
      </c>
      <c r="G48" s="16" t="s">
        <v>280</v>
      </c>
      <c r="H48" s="6" t="s">
        <v>9</v>
      </c>
      <c r="I48" s="16"/>
    </row>
    <row r="49" customFormat="false" ht="23.85" hidden="false" customHeight="false" outlineLevel="0" collapsed="false">
      <c r="A49" s="14" t="s">
        <v>281</v>
      </c>
      <c r="B49" s="6" t="s">
        <v>19</v>
      </c>
      <c r="C49" s="6" t="s">
        <v>20</v>
      </c>
      <c r="D49" s="18" t="s">
        <v>77</v>
      </c>
      <c r="E49" s="16" t="s">
        <v>282</v>
      </c>
      <c r="F49" s="16" t="s">
        <v>283</v>
      </c>
      <c r="G49" s="16" t="s">
        <v>284</v>
      </c>
      <c r="H49" s="6" t="s">
        <v>9</v>
      </c>
      <c r="I49" s="16"/>
    </row>
    <row r="50" customFormat="false" ht="35.05" hidden="false" customHeight="false" outlineLevel="0" collapsed="false">
      <c r="A50" s="14" t="s">
        <v>285</v>
      </c>
      <c r="B50" s="6" t="s">
        <v>21</v>
      </c>
      <c r="C50" s="6" t="s">
        <v>22</v>
      </c>
      <c r="D50" s="15" t="s">
        <v>73</v>
      </c>
      <c r="E50" s="16" t="s">
        <v>286</v>
      </c>
      <c r="F50" s="16" t="s">
        <v>287</v>
      </c>
      <c r="G50" s="16" t="s">
        <v>288</v>
      </c>
      <c r="H50" s="6" t="s">
        <v>9</v>
      </c>
      <c r="I50" s="16"/>
    </row>
    <row r="51" customFormat="false" ht="35.05" hidden="false" customHeight="false" outlineLevel="0" collapsed="false">
      <c r="A51" s="14" t="s">
        <v>289</v>
      </c>
      <c r="B51" s="6" t="s">
        <v>21</v>
      </c>
      <c r="C51" s="6" t="s">
        <v>22</v>
      </c>
      <c r="D51" s="17" t="s">
        <v>75</v>
      </c>
      <c r="E51" s="16" t="s">
        <v>290</v>
      </c>
      <c r="F51" s="16" t="s">
        <v>291</v>
      </c>
      <c r="G51" s="16" t="s">
        <v>292</v>
      </c>
      <c r="H51" s="6" t="s">
        <v>9</v>
      </c>
      <c r="I51" s="16"/>
    </row>
    <row r="52" customFormat="false" ht="35.05" hidden="false" customHeight="false" outlineLevel="0" collapsed="false">
      <c r="A52" s="14" t="s">
        <v>293</v>
      </c>
      <c r="B52" s="6" t="s">
        <v>21</v>
      </c>
      <c r="C52" s="6" t="s">
        <v>22</v>
      </c>
      <c r="D52" s="17" t="s">
        <v>75</v>
      </c>
      <c r="E52" s="16" t="s">
        <v>294</v>
      </c>
      <c r="F52" s="16" t="s">
        <v>295</v>
      </c>
      <c r="G52" s="16" t="s">
        <v>296</v>
      </c>
      <c r="H52" s="6" t="s">
        <v>9</v>
      </c>
      <c r="I52" s="16"/>
    </row>
    <row r="53" customFormat="false" ht="15" hidden="false" customHeight="false" outlineLevel="0" collapsed="false">
      <c r="A53" s="14" t="s">
        <v>297</v>
      </c>
      <c r="B53" s="6" t="s">
        <v>21</v>
      </c>
      <c r="C53" s="6" t="s">
        <v>22</v>
      </c>
      <c r="D53" s="17" t="s">
        <v>75</v>
      </c>
      <c r="E53" s="16" t="s">
        <v>298</v>
      </c>
      <c r="F53" s="16" t="s">
        <v>299</v>
      </c>
      <c r="G53" s="16" t="s">
        <v>300</v>
      </c>
      <c r="H53" s="6" t="s">
        <v>9</v>
      </c>
      <c r="I53" s="16"/>
    </row>
    <row r="54" customFormat="false" ht="15" hidden="false" customHeight="false" outlineLevel="0" collapsed="false">
      <c r="A54" s="14" t="s">
        <v>301</v>
      </c>
      <c r="B54" s="6" t="s">
        <v>21</v>
      </c>
      <c r="C54" s="6" t="s">
        <v>22</v>
      </c>
      <c r="D54" s="18" t="s">
        <v>77</v>
      </c>
      <c r="E54" s="16" t="s">
        <v>302</v>
      </c>
      <c r="F54" s="16" t="s">
        <v>303</v>
      </c>
      <c r="G54" s="16" t="s">
        <v>304</v>
      </c>
      <c r="H54" s="6" t="s">
        <v>9</v>
      </c>
      <c r="I54" s="16"/>
    </row>
    <row r="55" customFormat="false" ht="35.05" hidden="false" customHeight="false" outlineLevel="0" collapsed="false">
      <c r="A55" s="14" t="s">
        <v>305</v>
      </c>
      <c r="B55" s="6" t="s">
        <v>23</v>
      </c>
      <c r="C55" s="6" t="s">
        <v>24</v>
      </c>
      <c r="D55" s="15" t="s">
        <v>73</v>
      </c>
      <c r="E55" s="16" t="s">
        <v>306</v>
      </c>
      <c r="F55" s="16" t="s">
        <v>307</v>
      </c>
      <c r="G55" s="16" t="s">
        <v>308</v>
      </c>
      <c r="H55" s="6" t="s">
        <v>9</v>
      </c>
      <c r="I55" s="16"/>
    </row>
    <row r="56" customFormat="false" ht="23.85" hidden="false" customHeight="false" outlineLevel="0" collapsed="false">
      <c r="A56" s="14" t="s">
        <v>309</v>
      </c>
      <c r="B56" s="6" t="s">
        <v>23</v>
      </c>
      <c r="C56" s="6" t="s">
        <v>24</v>
      </c>
      <c r="D56" s="17" t="s">
        <v>75</v>
      </c>
      <c r="E56" s="16" t="s">
        <v>310</v>
      </c>
      <c r="F56" s="16" t="s">
        <v>311</v>
      </c>
      <c r="G56" s="16" t="s">
        <v>312</v>
      </c>
      <c r="H56" s="6" t="s">
        <v>9</v>
      </c>
      <c r="I56" s="16"/>
    </row>
    <row r="57" customFormat="false" ht="15" hidden="false" customHeight="false" outlineLevel="0" collapsed="false">
      <c r="A57" s="14" t="s">
        <v>313</v>
      </c>
      <c r="B57" s="6" t="s">
        <v>23</v>
      </c>
      <c r="C57" s="6" t="s">
        <v>24</v>
      </c>
      <c r="D57" s="15" t="s">
        <v>73</v>
      </c>
      <c r="E57" s="16" t="s">
        <v>314</v>
      </c>
      <c r="F57" s="16" t="s">
        <v>315</v>
      </c>
      <c r="G57" s="16" t="s">
        <v>316</v>
      </c>
      <c r="H57" s="6" t="s">
        <v>9</v>
      </c>
      <c r="I57" s="16"/>
    </row>
    <row r="58" customFormat="false" ht="35.05" hidden="false" customHeight="false" outlineLevel="0" collapsed="false">
      <c r="A58" s="14" t="s">
        <v>317</v>
      </c>
      <c r="B58" s="6" t="s">
        <v>23</v>
      </c>
      <c r="C58" s="6" t="s">
        <v>24</v>
      </c>
      <c r="D58" s="15" t="s">
        <v>73</v>
      </c>
      <c r="E58" s="16" t="s">
        <v>318</v>
      </c>
      <c r="F58" s="16" t="s">
        <v>319</v>
      </c>
      <c r="G58" s="16" t="s">
        <v>320</v>
      </c>
      <c r="H58" s="6" t="s">
        <v>9</v>
      </c>
      <c r="I58" s="16"/>
    </row>
    <row r="59" customFormat="false" ht="23.85" hidden="false" customHeight="false" outlineLevel="0" collapsed="false">
      <c r="A59" s="14" t="s">
        <v>321</v>
      </c>
      <c r="B59" s="6" t="s">
        <v>23</v>
      </c>
      <c r="C59" s="6" t="s">
        <v>24</v>
      </c>
      <c r="D59" s="17" t="s">
        <v>75</v>
      </c>
      <c r="E59" s="16" t="s">
        <v>322</v>
      </c>
      <c r="F59" s="16" t="s">
        <v>323</v>
      </c>
      <c r="G59" s="16" t="s">
        <v>324</v>
      </c>
      <c r="H59" s="6" t="s">
        <v>9</v>
      </c>
      <c r="I59" s="16"/>
    </row>
    <row r="60" customFormat="false" ht="15" hidden="false" customHeight="false" outlineLevel="0" collapsed="false">
      <c r="A60" s="14" t="s">
        <v>325</v>
      </c>
      <c r="B60" s="6" t="s">
        <v>23</v>
      </c>
      <c r="C60" s="6" t="s">
        <v>24</v>
      </c>
      <c r="D60" s="17" t="s">
        <v>75</v>
      </c>
      <c r="E60" s="16" t="s">
        <v>326</v>
      </c>
      <c r="F60" s="16" t="s">
        <v>327</v>
      </c>
      <c r="G60" s="16" t="s">
        <v>328</v>
      </c>
      <c r="H60" s="6" t="s">
        <v>9</v>
      </c>
      <c r="I60" s="16"/>
    </row>
    <row r="61" customFormat="false" ht="15" hidden="false" customHeight="false" outlineLevel="0" collapsed="false">
      <c r="A61" s="14" t="s">
        <v>329</v>
      </c>
      <c r="B61" s="6" t="s">
        <v>23</v>
      </c>
      <c r="C61" s="6" t="s">
        <v>24</v>
      </c>
      <c r="D61" s="17" t="s">
        <v>75</v>
      </c>
      <c r="E61" s="16" t="s">
        <v>330</v>
      </c>
      <c r="F61" s="16" t="s">
        <v>331</v>
      </c>
      <c r="G61" s="16" t="s">
        <v>332</v>
      </c>
      <c r="H61" s="6" t="s">
        <v>9</v>
      </c>
      <c r="I61" s="16"/>
    </row>
    <row r="62" customFormat="false" ht="15" hidden="false" customHeight="false" outlineLevel="0" collapsed="false">
      <c r="A62" s="14" t="s">
        <v>333</v>
      </c>
      <c r="B62" s="6" t="s">
        <v>23</v>
      </c>
      <c r="C62" s="6" t="s">
        <v>24</v>
      </c>
      <c r="D62" s="18" t="s">
        <v>77</v>
      </c>
      <c r="E62" s="16" t="s">
        <v>334</v>
      </c>
      <c r="F62" s="16" t="s">
        <v>335</v>
      </c>
      <c r="G62" s="16" t="s">
        <v>336</v>
      </c>
      <c r="H62" s="6" t="s">
        <v>9</v>
      </c>
      <c r="I62" s="16"/>
    </row>
    <row r="63" customFormat="false" ht="15" hidden="false" customHeight="false" outlineLevel="0" collapsed="false">
      <c r="A63" s="14" t="s">
        <v>337</v>
      </c>
      <c r="B63" s="6" t="s">
        <v>25</v>
      </c>
      <c r="C63" s="6" t="s">
        <v>26</v>
      </c>
      <c r="D63" s="15" t="s">
        <v>73</v>
      </c>
      <c r="E63" s="16" t="s">
        <v>338</v>
      </c>
      <c r="F63" s="16" t="s">
        <v>227</v>
      </c>
      <c r="G63" s="16" t="s">
        <v>339</v>
      </c>
      <c r="H63" s="6" t="s">
        <v>9</v>
      </c>
      <c r="I63" s="16"/>
    </row>
    <row r="64" customFormat="false" ht="15" hidden="false" customHeight="false" outlineLevel="0" collapsed="false">
      <c r="A64" s="14" t="s">
        <v>340</v>
      </c>
      <c r="B64" s="6" t="s">
        <v>25</v>
      </c>
      <c r="C64" s="6" t="s">
        <v>26</v>
      </c>
      <c r="D64" s="15" t="s">
        <v>73</v>
      </c>
      <c r="E64" s="16" t="s">
        <v>341</v>
      </c>
      <c r="F64" s="16" t="s">
        <v>342</v>
      </c>
      <c r="G64" s="16" t="s">
        <v>343</v>
      </c>
      <c r="H64" s="6" t="s">
        <v>9</v>
      </c>
      <c r="I64" s="16"/>
    </row>
    <row r="65" customFormat="false" ht="15" hidden="false" customHeight="false" outlineLevel="0" collapsed="false">
      <c r="A65" s="14" t="s">
        <v>344</v>
      </c>
      <c r="B65" s="6" t="s">
        <v>25</v>
      </c>
      <c r="C65" s="6" t="s">
        <v>26</v>
      </c>
      <c r="D65" s="15" t="s">
        <v>73</v>
      </c>
      <c r="E65" s="16" t="s">
        <v>345</v>
      </c>
      <c r="F65" s="16" t="s">
        <v>346</v>
      </c>
      <c r="G65" s="16" t="s">
        <v>347</v>
      </c>
      <c r="H65" s="6" t="s">
        <v>9</v>
      </c>
      <c r="I65" s="16"/>
    </row>
    <row r="66" customFormat="false" ht="15" hidden="false" customHeight="false" outlineLevel="0" collapsed="false">
      <c r="A66" s="14" t="s">
        <v>348</v>
      </c>
      <c r="B66" s="6" t="s">
        <v>25</v>
      </c>
      <c r="C66" s="6" t="s">
        <v>26</v>
      </c>
      <c r="D66" s="17" t="s">
        <v>75</v>
      </c>
      <c r="E66" s="16" t="s">
        <v>349</v>
      </c>
      <c r="F66" s="16" t="s">
        <v>350</v>
      </c>
      <c r="G66" s="16" t="s">
        <v>351</v>
      </c>
      <c r="H66" s="6" t="s">
        <v>9</v>
      </c>
      <c r="I66" s="16"/>
    </row>
    <row r="67" customFormat="false" ht="15" hidden="false" customHeight="false" outlineLevel="0" collapsed="false">
      <c r="A67" s="14" t="s">
        <v>352</v>
      </c>
      <c r="B67" s="6" t="s">
        <v>25</v>
      </c>
      <c r="C67" s="6" t="s">
        <v>26</v>
      </c>
      <c r="D67" s="17" t="s">
        <v>75</v>
      </c>
      <c r="E67" s="16" t="s">
        <v>353</v>
      </c>
      <c r="F67" s="16" t="s">
        <v>354</v>
      </c>
      <c r="G67" s="16" t="s">
        <v>355</v>
      </c>
      <c r="H67" s="6" t="s">
        <v>9</v>
      </c>
      <c r="I67" s="16"/>
    </row>
    <row r="68" customFormat="false" ht="23.85" hidden="false" customHeight="false" outlineLevel="0" collapsed="false">
      <c r="A68" s="14" t="s">
        <v>356</v>
      </c>
      <c r="B68" s="6" t="s">
        <v>25</v>
      </c>
      <c r="C68" s="6" t="s">
        <v>26</v>
      </c>
      <c r="D68" s="17" t="s">
        <v>75</v>
      </c>
      <c r="E68" s="16" t="s">
        <v>357</v>
      </c>
      <c r="F68" s="16" t="s">
        <v>358</v>
      </c>
      <c r="G68" s="16" t="s">
        <v>359</v>
      </c>
      <c r="H68" s="6" t="s">
        <v>9</v>
      </c>
      <c r="I68" s="16"/>
    </row>
    <row r="69" customFormat="false" ht="15" hidden="false" customHeight="false" outlineLevel="0" collapsed="false">
      <c r="A69" s="14" t="s">
        <v>360</v>
      </c>
      <c r="B69" s="6" t="s">
        <v>25</v>
      </c>
      <c r="C69" s="6" t="s">
        <v>26</v>
      </c>
      <c r="D69" s="18" t="s">
        <v>77</v>
      </c>
      <c r="E69" s="16" t="s">
        <v>361</v>
      </c>
      <c r="F69" s="16" t="s">
        <v>362</v>
      </c>
      <c r="G69" s="16" t="s">
        <v>363</v>
      </c>
      <c r="H69" s="6" t="s">
        <v>9</v>
      </c>
      <c r="I69" s="16"/>
    </row>
    <row r="70" customFormat="false" ht="23.85" hidden="false" customHeight="false" outlineLevel="0" collapsed="false">
      <c r="A70" s="14" t="s">
        <v>364</v>
      </c>
      <c r="B70" s="6" t="s">
        <v>25</v>
      </c>
      <c r="C70" s="6" t="s">
        <v>26</v>
      </c>
      <c r="D70" s="15" t="s">
        <v>73</v>
      </c>
      <c r="E70" s="16" t="s">
        <v>365</v>
      </c>
      <c r="F70" s="16" t="s">
        <v>366</v>
      </c>
      <c r="G70" s="16" t="s">
        <v>367</v>
      </c>
      <c r="H70" s="6" t="s">
        <v>9</v>
      </c>
      <c r="I70" s="16"/>
    </row>
    <row r="71" customFormat="false" ht="23.85" hidden="false" customHeight="false" outlineLevel="0" collapsed="false">
      <c r="A71" s="14" t="s">
        <v>368</v>
      </c>
      <c r="B71" s="6" t="s">
        <v>25</v>
      </c>
      <c r="C71" s="6" t="s">
        <v>26</v>
      </c>
      <c r="D71" s="15" t="s">
        <v>73</v>
      </c>
      <c r="E71" s="16" t="s">
        <v>369</v>
      </c>
      <c r="F71" s="16" t="s">
        <v>370</v>
      </c>
      <c r="G71" s="16" t="s">
        <v>371</v>
      </c>
      <c r="H71" s="6" t="s">
        <v>9</v>
      </c>
      <c r="I71" s="16"/>
    </row>
    <row r="72" customFormat="false" ht="23.85" hidden="false" customHeight="false" outlineLevel="0" collapsed="false">
      <c r="A72" s="14" t="s">
        <v>372</v>
      </c>
      <c r="B72" s="6" t="s">
        <v>25</v>
      </c>
      <c r="C72" s="6" t="s">
        <v>26</v>
      </c>
      <c r="D72" s="17" t="s">
        <v>75</v>
      </c>
      <c r="E72" s="16" t="s">
        <v>373</v>
      </c>
      <c r="F72" s="16" t="s">
        <v>374</v>
      </c>
      <c r="G72" s="16" t="s">
        <v>375</v>
      </c>
      <c r="H72" s="6" t="s">
        <v>9</v>
      </c>
      <c r="I72" s="16"/>
    </row>
    <row r="73" customFormat="false" ht="23.85" hidden="false" customHeight="false" outlineLevel="0" collapsed="false">
      <c r="A73" s="14" t="s">
        <v>376</v>
      </c>
      <c r="B73" s="6" t="s">
        <v>25</v>
      </c>
      <c r="C73" s="6" t="s">
        <v>26</v>
      </c>
      <c r="D73" s="17" t="s">
        <v>75</v>
      </c>
      <c r="E73" s="16" t="s">
        <v>377</v>
      </c>
      <c r="F73" s="16" t="s">
        <v>378</v>
      </c>
      <c r="G73" s="16" t="s">
        <v>379</v>
      </c>
      <c r="H73" s="6" t="s">
        <v>9</v>
      </c>
      <c r="I73" s="16"/>
    </row>
    <row r="74" customFormat="false" ht="15" hidden="false" customHeight="false" outlineLevel="0" collapsed="false">
      <c r="A74" s="14" t="s">
        <v>380</v>
      </c>
      <c r="B74" s="6" t="s">
        <v>25</v>
      </c>
      <c r="C74" s="6" t="s">
        <v>26</v>
      </c>
      <c r="D74" s="18" t="s">
        <v>77</v>
      </c>
      <c r="E74" s="16" t="s">
        <v>381</v>
      </c>
      <c r="F74" s="16" t="s">
        <v>382</v>
      </c>
      <c r="G74" s="16" t="s">
        <v>383</v>
      </c>
      <c r="H74" s="6" t="s">
        <v>9</v>
      </c>
      <c r="I74" s="16"/>
    </row>
    <row r="75" customFormat="false" ht="15" hidden="false" customHeight="false" outlineLevel="0" collapsed="false">
      <c r="A75" s="14" t="s">
        <v>384</v>
      </c>
      <c r="B75" s="6" t="s">
        <v>25</v>
      </c>
      <c r="C75" s="6" t="s">
        <v>26</v>
      </c>
      <c r="D75" s="18" t="s">
        <v>77</v>
      </c>
      <c r="E75" s="16" t="s">
        <v>385</v>
      </c>
      <c r="F75" s="16" t="s">
        <v>386</v>
      </c>
      <c r="G75" s="16" t="s">
        <v>387</v>
      </c>
      <c r="H75" s="6" t="s">
        <v>9</v>
      </c>
      <c r="I75" s="16"/>
    </row>
    <row r="76" customFormat="false" ht="23.85" hidden="false" customHeight="false" outlineLevel="0" collapsed="false">
      <c r="A76" s="14" t="s">
        <v>388</v>
      </c>
      <c r="B76" s="6" t="s">
        <v>27</v>
      </c>
      <c r="C76" s="6" t="s">
        <v>28</v>
      </c>
      <c r="D76" s="15" t="s">
        <v>73</v>
      </c>
      <c r="E76" s="16" t="s">
        <v>389</v>
      </c>
      <c r="F76" s="16" t="s">
        <v>390</v>
      </c>
      <c r="G76" s="16" t="s">
        <v>391</v>
      </c>
      <c r="H76" s="6" t="s">
        <v>9</v>
      </c>
      <c r="I76" s="16"/>
    </row>
    <row r="77" customFormat="false" ht="15" hidden="false" customHeight="false" outlineLevel="0" collapsed="false">
      <c r="A77" s="14" t="s">
        <v>392</v>
      </c>
      <c r="B77" s="6" t="s">
        <v>27</v>
      </c>
      <c r="C77" s="6" t="s">
        <v>28</v>
      </c>
      <c r="D77" s="17" t="s">
        <v>75</v>
      </c>
      <c r="E77" s="16" t="s">
        <v>393</v>
      </c>
      <c r="F77" s="16" t="s">
        <v>394</v>
      </c>
      <c r="G77" s="16" t="s">
        <v>395</v>
      </c>
      <c r="H77" s="6" t="s">
        <v>9</v>
      </c>
      <c r="I77" s="16"/>
    </row>
    <row r="78" customFormat="false" ht="23.85" hidden="false" customHeight="false" outlineLevel="0" collapsed="false">
      <c r="A78" s="14" t="s">
        <v>396</v>
      </c>
      <c r="B78" s="6" t="s">
        <v>27</v>
      </c>
      <c r="C78" s="6" t="s">
        <v>28</v>
      </c>
      <c r="D78" s="18" t="s">
        <v>77</v>
      </c>
      <c r="E78" s="16" t="s">
        <v>397</v>
      </c>
      <c r="F78" s="16" t="s">
        <v>398</v>
      </c>
      <c r="G78" s="16" t="s">
        <v>399</v>
      </c>
      <c r="H78" s="6" t="s">
        <v>9</v>
      </c>
      <c r="I78" s="16"/>
    </row>
    <row r="79" customFormat="false" ht="23.85" hidden="false" customHeight="false" outlineLevel="0" collapsed="false">
      <c r="A79" s="14" t="s">
        <v>400</v>
      </c>
      <c r="B79" s="6" t="s">
        <v>27</v>
      </c>
      <c r="C79" s="6" t="s">
        <v>28</v>
      </c>
      <c r="D79" s="17" t="s">
        <v>75</v>
      </c>
      <c r="E79" s="16" t="s">
        <v>401</v>
      </c>
      <c r="F79" s="16" t="s">
        <v>402</v>
      </c>
      <c r="G79" s="16" t="s">
        <v>403</v>
      </c>
      <c r="H79" s="6" t="s">
        <v>9</v>
      </c>
      <c r="I79" s="16"/>
    </row>
    <row r="80" customFormat="false" ht="35.05" hidden="false" customHeight="false" outlineLevel="0" collapsed="false">
      <c r="A80" s="14" t="s">
        <v>404</v>
      </c>
      <c r="B80" s="6" t="s">
        <v>27</v>
      </c>
      <c r="C80" s="6" t="s">
        <v>28</v>
      </c>
      <c r="D80" s="18" t="s">
        <v>77</v>
      </c>
      <c r="E80" s="16" t="s">
        <v>405</v>
      </c>
      <c r="F80" s="16" t="s">
        <v>406</v>
      </c>
      <c r="G80" s="16" t="s">
        <v>407</v>
      </c>
      <c r="H80" s="6" t="s">
        <v>9</v>
      </c>
      <c r="I80" s="16"/>
    </row>
    <row r="81" customFormat="false" ht="23.85" hidden="false" customHeight="false" outlineLevel="0" collapsed="false">
      <c r="A81" s="14" t="s">
        <v>408</v>
      </c>
      <c r="B81" s="6" t="s">
        <v>27</v>
      </c>
      <c r="C81" s="6" t="s">
        <v>28</v>
      </c>
      <c r="D81" s="18" t="s">
        <v>77</v>
      </c>
      <c r="E81" s="16" t="s">
        <v>409</v>
      </c>
      <c r="F81" s="16" t="s">
        <v>410</v>
      </c>
      <c r="G81" s="16" t="s">
        <v>411</v>
      </c>
      <c r="H81" s="6" t="s">
        <v>9</v>
      </c>
      <c r="I81" s="16"/>
    </row>
    <row r="82" customFormat="false" ht="23.85" hidden="false" customHeight="false" outlineLevel="0" collapsed="false">
      <c r="A82" s="14" t="s">
        <v>412</v>
      </c>
      <c r="B82" s="6" t="s">
        <v>27</v>
      </c>
      <c r="C82" s="6" t="s">
        <v>28</v>
      </c>
      <c r="D82" s="18" t="s">
        <v>77</v>
      </c>
      <c r="E82" s="16" t="s">
        <v>413</v>
      </c>
      <c r="F82" s="16" t="s">
        <v>414</v>
      </c>
      <c r="G82" s="16" t="s">
        <v>415</v>
      </c>
      <c r="H82" s="6" t="s">
        <v>9</v>
      </c>
      <c r="I82" s="16"/>
    </row>
    <row r="83" customFormat="false" ht="23.85" hidden="false" customHeight="false" outlineLevel="0" collapsed="false">
      <c r="A83" s="14" t="s">
        <v>416</v>
      </c>
      <c r="B83" s="6" t="s">
        <v>29</v>
      </c>
      <c r="C83" s="6" t="s">
        <v>30</v>
      </c>
      <c r="D83" s="15" t="s">
        <v>73</v>
      </c>
      <c r="E83" s="16" t="s">
        <v>417</v>
      </c>
      <c r="F83" s="16" t="s">
        <v>418</v>
      </c>
      <c r="G83" s="16" t="s">
        <v>419</v>
      </c>
      <c r="H83" s="6" t="s">
        <v>9</v>
      </c>
      <c r="I83" s="16"/>
    </row>
    <row r="84" customFormat="false" ht="15" hidden="false" customHeight="false" outlineLevel="0" collapsed="false">
      <c r="A84" s="14" t="s">
        <v>420</v>
      </c>
      <c r="B84" s="6" t="s">
        <v>29</v>
      </c>
      <c r="C84" s="6" t="s">
        <v>30</v>
      </c>
      <c r="D84" s="17" t="s">
        <v>75</v>
      </c>
      <c r="E84" s="16" t="s">
        <v>421</v>
      </c>
      <c r="F84" s="16" t="s">
        <v>422</v>
      </c>
      <c r="G84" s="16" t="s">
        <v>423</v>
      </c>
      <c r="H84" s="6" t="s">
        <v>9</v>
      </c>
      <c r="I84" s="16"/>
    </row>
    <row r="85" customFormat="false" ht="23.85" hidden="false" customHeight="false" outlineLevel="0" collapsed="false">
      <c r="A85" s="14" t="s">
        <v>424</v>
      </c>
      <c r="B85" s="6" t="s">
        <v>29</v>
      </c>
      <c r="C85" s="6" t="s">
        <v>30</v>
      </c>
      <c r="D85" s="17" t="s">
        <v>75</v>
      </c>
      <c r="E85" s="16" t="s">
        <v>425</v>
      </c>
      <c r="F85" s="16" t="s">
        <v>426</v>
      </c>
      <c r="G85" s="16" t="s">
        <v>427</v>
      </c>
      <c r="H85" s="6" t="s">
        <v>9</v>
      </c>
      <c r="I85" s="16"/>
    </row>
    <row r="86" customFormat="false" ht="15" hidden="false" customHeight="false" outlineLevel="0" collapsed="false">
      <c r="A86" s="14" t="s">
        <v>428</v>
      </c>
      <c r="B86" s="6" t="s">
        <v>29</v>
      </c>
      <c r="C86" s="6" t="s">
        <v>30</v>
      </c>
      <c r="D86" s="17" t="s">
        <v>75</v>
      </c>
      <c r="E86" s="16" t="s">
        <v>429</v>
      </c>
      <c r="F86" s="16" t="s">
        <v>430</v>
      </c>
      <c r="G86" s="16" t="s">
        <v>431</v>
      </c>
      <c r="H86" s="6" t="s">
        <v>9</v>
      </c>
      <c r="I86" s="16"/>
    </row>
    <row r="87" customFormat="false" ht="23.85" hidden="false" customHeight="false" outlineLevel="0" collapsed="false">
      <c r="A87" s="14" t="s">
        <v>432</v>
      </c>
      <c r="B87" s="6" t="s">
        <v>29</v>
      </c>
      <c r="C87" s="6" t="s">
        <v>30</v>
      </c>
      <c r="D87" s="18" t="s">
        <v>77</v>
      </c>
      <c r="E87" s="16" t="s">
        <v>433</v>
      </c>
      <c r="F87" s="16" t="s">
        <v>434</v>
      </c>
      <c r="G87" s="16" t="s">
        <v>435</v>
      </c>
      <c r="H87" s="6" t="s">
        <v>9</v>
      </c>
      <c r="I87" s="16"/>
    </row>
    <row r="88" customFormat="false" ht="15" hidden="false" customHeight="false" outlineLevel="0" collapsed="false">
      <c r="A88" s="14" t="s">
        <v>436</v>
      </c>
      <c r="B88" s="6" t="s">
        <v>29</v>
      </c>
      <c r="C88" s="6" t="s">
        <v>30</v>
      </c>
      <c r="D88" s="18" t="s">
        <v>77</v>
      </c>
      <c r="E88" s="16" t="s">
        <v>437</v>
      </c>
      <c r="F88" s="16" t="s">
        <v>438</v>
      </c>
      <c r="G88" s="16" t="s">
        <v>439</v>
      </c>
      <c r="H88" s="6" t="s">
        <v>9</v>
      </c>
      <c r="I88" s="16"/>
    </row>
    <row r="89" customFormat="false" ht="15" hidden="false" customHeight="false" outlineLevel="0" collapsed="false">
      <c r="A89" s="14" t="s">
        <v>440</v>
      </c>
      <c r="B89" s="6" t="s">
        <v>29</v>
      </c>
      <c r="C89" s="6" t="s">
        <v>30</v>
      </c>
      <c r="D89" s="18" t="s">
        <v>77</v>
      </c>
      <c r="E89" s="16" t="s">
        <v>441</v>
      </c>
      <c r="F89" s="16" t="s">
        <v>442</v>
      </c>
      <c r="G89" s="16" t="s">
        <v>443</v>
      </c>
      <c r="H89" s="6" t="s">
        <v>9</v>
      </c>
      <c r="I89" s="16"/>
    </row>
    <row r="90" customFormat="false" ht="23.85" hidden="false" customHeight="false" outlineLevel="0" collapsed="false">
      <c r="A90" s="14" t="s">
        <v>444</v>
      </c>
      <c r="B90" s="6" t="s">
        <v>31</v>
      </c>
      <c r="C90" s="6" t="s">
        <v>32</v>
      </c>
      <c r="D90" s="15" t="s">
        <v>73</v>
      </c>
      <c r="E90" s="16" t="s">
        <v>445</v>
      </c>
      <c r="F90" s="16" t="s">
        <v>446</v>
      </c>
      <c r="G90" s="16" t="s">
        <v>447</v>
      </c>
      <c r="H90" s="6" t="s">
        <v>9</v>
      </c>
      <c r="I90" s="16"/>
    </row>
    <row r="91" customFormat="false" ht="15" hidden="false" customHeight="false" outlineLevel="0" collapsed="false">
      <c r="A91" s="14" t="s">
        <v>448</v>
      </c>
      <c r="B91" s="6" t="s">
        <v>31</v>
      </c>
      <c r="C91" s="6" t="s">
        <v>32</v>
      </c>
      <c r="D91" s="15" t="s">
        <v>73</v>
      </c>
      <c r="E91" s="16" t="s">
        <v>449</v>
      </c>
      <c r="F91" s="16" t="s">
        <v>450</v>
      </c>
      <c r="G91" s="16" t="s">
        <v>451</v>
      </c>
      <c r="H91" s="6" t="s">
        <v>9</v>
      </c>
      <c r="I91" s="16"/>
    </row>
    <row r="92" customFormat="false" ht="15" hidden="false" customHeight="false" outlineLevel="0" collapsed="false">
      <c r="A92" s="14" t="s">
        <v>452</v>
      </c>
      <c r="B92" s="6" t="s">
        <v>31</v>
      </c>
      <c r="C92" s="6" t="s">
        <v>32</v>
      </c>
      <c r="D92" s="17" t="s">
        <v>75</v>
      </c>
      <c r="E92" s="16" t="s">
        <v>453</v>
      </c>
      <c r="F92" s="16" t="s">
        <v>454</v>
      </c>
      <c r="G92" s="16" t="s">
        <v>455</v>
      </c>
      <c r="H92" s="6" t="s">
        <v>9</v>
      </c>
      <c r="I92" s="16"/>
    </row>
    <row r="93" customFormat="false" ht="15" hidden="false" customHeight="false" outlineLevel="0" collapsed="false">
      <c r="A93" s="14" t="s">
        <v>456</v>
      </c>
      <c r="B93" s="6" t="s">
        <v>31</v>
      </c>
      <c r="C93" s="6" t="s">
        <v>32</v>
      </c>
      <c r="D93" s="17" t="s">
        <v>75</v>
      </c>
      <c r="E93" s="16" t="s">
        <v>457</v>
      </c>
      <c r="F93" s="16" t="s">
        <v>458</v>
      </c>
      <c r="G93" s="16" t="s">
        <v>459</v>
      </c>
      <c r="H93" s="6" t="s">
        <v>9</v>
      </c>
      <c r="I93" s="16"/>
    </row>
    <row r="94" customFormat="false" ht="15" hidden="false" customHeight="false" outlineLevel="0" collapsed="false">
      <c r="A94" s="14" t="s">
        <v>460</v>
      </c>
      <c r="B94" s="6" t="s">
        <v>31</v>
      </c>
      <c r="C94" s="6" t="s">
        <v>32</v>
      </c>
      <c r="D94" s="17" t="s">
        <v>75</v>
      </c>
      <c r="E94" s="16" t="s">
        <v>461</v>
      </c>
      <c r="F94" s="16" t="s">
        <v>462</v>
      </c>
      <c r="G94" s="16" t="s">
        <v>463</v>
      </c>
      <c r="H94" s="6" t="s">
        <v>9</v>
      </c>
      <c r="I94" s="16"/>
    </row>
    <row r="95" customFormat="false" ht="15" hidden="false" customHeight="false" outlineLevel="0" collapsed="false">
      <c r="A95" s="14" t="s">
        <v>464</v>
      </c>
      <c r="B95" s="6" t="s">
        <v>31</v>
      </c>
      <c r="C95" s="6" t="s">
        <v>32</v>
      </c>
      <c r="D95" s="18" t="s">
        <v>77</v>
      </c>
      <c r="E95" s="16" t="s">
        <v>465</v>
      </c>
      <c r="F95" s="16" t="s">
        <v>466</v>
      </c>
      <c r="G95" s="16" t="s">
        <v>467</v>
      </c>
      <c r="H95" s="6" t="s">
        <v>9</v>
      </c>
      <c r="I95" s="16"/>
    </row>
    <row r="96" customFormat="false" ht="23.85" hidden="false" customHeight="false" outlineLevel="0" collapsed="false">
      <c r="A96" s="14" t="s">
        <v>468</v>
      </c>
      <c r="B96" s="6" t="s">
        <v>31</v>
      </c>
      <c r="C96" s="6" t="s">
        <v>32</v>
      </c>
      <c r="D96" s="18" t="s">
        <v>77</v>
      </c>
      <c r="E96" s="16" t="s">
        <v>469</v>
      </c>
      <c r="F96" s="16" t="s">
        <v>470</v>
      </c>
      <c r="G96" s="16" t="s">
        <v>471</v>
      </c>
      <c r="H96" s="6" t="s">
        <v>9</v>
      </c>
      <c r="I96" s="16"/>
    </row>
    <row r="97" customFormat="false" ht="23.85" hidden="false" customHeight="false" outlineLevel="0" collapsed="false">
      <c r="A97" s="14" t="s">
        <v>472</v>
      </c>
      <c r="B97" s="6" t="s">
        <v>33</v>
      </c>
      <c r="C97" s="6" t="s">
        <v>34</v>
      </c>
      <c r="D97" s="15" t="s">
        <v>73</v>
      </c>
      <c r="E97" s="16" t="s">
        <v>473</v>
      </c>
      <c r="F97" s="16" t="s">
        <v>474</v>
      </c>
      <c r="G97" s="16" t="s">
        <v>475</v>
      </c>
      <c r="H97" s="6" t="s">
        <v>9</v>
      </c>
      <c r="I97" s="16"/>
    </row>
    <row r="98" customFormat="false" ht="23.85" hidden="false" customHeight="false" outlineLevel="0" collapsed="false">
      <c r="A98" s="14" t="s">
        <v>476</v>
      </c>
      <c r="B98" s="6" t="s">
        <v>33</v>
      </c>
      <c r="C98" s="6" t="s">
        <v>34</v>
      </c>
      <c r="D98" s="17" t="s">
        <v>75</v>
      </c>
      <c r="E98" s="16" t="s">
        <v>477</v>
      </c>
      <c r="F98" s="16" t="s">
        <v>478</v>
      </c>
      <c r="G98" s="16" t="s">
        <v>479</v>
      </c>
      <c r="H98" s="6" t="s">
        <v>9</v>
      </c>
      <c r="I98" s="16"/>
    </row>
    <row r="99" customFormat="false" ht="23.85" hidden="false" customHeight="false" outlineLevel="0" collapsed="false">
      <c r="A99" s="14" t="s">
        <v>480</v>
      </c>
      <c r="B99" s="6" t="s">
        <v>33</v>
      </c>
      <c r="C99" s="6" t="s">
        <v>34</v>
      </c>
      <c r="D99" s="17" t="s">
        <v>75</v>
      </c>
      <c r="E99" s="16" t="s">
        <v>481</v>
      </c>
      <c r="F99" s="16" t="s">
        <v>482</v>
      </c>
      <c r="G99" s="16" t="s">
        <v>483</v>
      </c>
      <c r="H99" s="6" t="s">
        <v>9</v>
      </c>
      <c r="I99" s="16"/>
    </row>
    <row r="100" customFormat="false" ht="23.85" hidden="false" customHeight="false" outlineLevel="0" collapsed="false">
      <c r="A100" s="14" t="s">
        <v>484</v>
      </c>
      <c r="B100" s="6" t="s">
        <v>33</v>
      </c>
      <c r="C100" s="6" t="s">
        <v>34</v>
      </c>
      <c r="D100" s="17" t="s">
        <v>75</v>
      </c>
      <c r="E100" s="16" t="s">
        <v>485</v>
      </c>
      <c r="F100" s="16" t="s">
        <v>486</v>
      </c>
      <c r="G100" s="16" t="s">
        <v>487</v>
      </c>
      <c r="H100" s="6" t="s">
        <v>9</v>
      </c>
      <c r="I100" s="16"/>
    </row>
    <row r="101" customFormat="false" ht="23.85" hidden="false" customHeight="false" outlineLevel="0" collapsed="false">
      <c r="A101" s="14" t="s">
        <v>488</v>
      </c>
      <c r="B101" s="6" t="s">
        <v>33</v>
      </c>
      <c r="C101" s="6" t="s">
        <v>34</v>
      </c>
      <c r="D101" s="17" t="s">
        <v>75</v>
      </c>
      <c r="E101" s="16" t="s">
        <v>489</v>
      </c>
      <c r="F101" s="16" t="s">
        <v>490</v>
      </c>
      <c r="G101" s="16" t="s">
        <v>491</v>
      </c>
      <c r="H101" s="6" t="s">
        <v>9</v>
      </c>
      <c r="I101" s="16"/>
    </row>
    <row r="102" customFormat="false" ht="23.85" hidden="false" customHeight="false" outlineLevel="0" collapsed="false">
      <c r="A102" s="14" t="s">
        <v>492</v>
      </c>
      <c r="B102" s="6" t="s">
        <v>33</v>
      </c>
      <c r="C102" s="6" t="s">
        <v>34</v>
      </c>
      <c r="D102" s="15" t="s">
        <v>73</v>
      </c>
      <c r="E102" s="16" t="s">
        <v>493</v>
      </c>
      <c r="F102" s="16" t="s">
        <v>494</v>
      </c>
      <c r="G102" s="16" t="s">
        <v>495</v>
      </c>
      <c r="H102" s="6" t="s">
        <v>9</v>
      </c>
      <c r="I102" s="16"/>
    </row>
    <row r="103" customFormat="false" ht="15" hidden="false" customHeight="false" outlineLevel="0" collapsed="false">
      <c r="A103" s="14" t="s">
        <v>496</v>
      </c>
      <c r="B103" s="6" t="s">
        <v>33</v>
      </c>
      <c r="C103" s="6" t="s">
        <v>34</v>
      </c>
      <c r="D103" s="15" t="s">
        <v>73</v>
      </c>
      <c r="E103" s="16" t="s">
        <v>497</v>
      </c>
      <c r="F103" s="16" t="s">
        <v>498</v>
      </c>
      <c r="G103" s="16" t="s">
        <v>499</v>
      </c>
      <c r="H103" s="6" t="s">
        <v>9</v>
      </c>
      <c r="I103" s="16"/>
    </row>
    <row r="104" customFormat="false" ht="15" hidden="false" customHeight="false" outlineLevel="0" collapsed="false">
      <c r="A104" s="14" t="s">
        <v>500</v>
      </c>
      <c r="B104" s="6" t="s">
        <v>33</v>
      </c>
      <c r="C104" s="6" t="s">
        <v>34</v>
      </c>
      <c r="D104" s="17" t="s">
        <v>75</v>
      </c>
      <c r="E104" s="16" t="s">
        <v>501</v>
      </c>
      <c r="F104" s="16" t="s">
        <v>502</v>
      </c>
      <c r="G104" s="16" t="s">
        <v>503</v>
      </c>
      <c r="H104" s="6" t="s">
        <v>9</v>
      </c>
      <c r="I104" s="16"/>
    </row>
    <row r="105" customFormat="false" ht="15" hidden="false" customHeight="false" outlineLevel="0" collapsed="false">
      <c r="A105" s="14" t="s">
        <v>504</v>
      </c>
      <c r="B105" s="6" t="s">
        <v>33</v>
      </c>
      <c r="C105" s="6" t="s">
        <v>34</v>
      </c>
      <c r="D105" s="18" t="s">
        <v>77</v>
      </c>
      <c r="E105" s="16" t="s">
        <v>505</v>
      </c>
      <c r="F105" s="16" t="s">
        <v>506</v>
      </c>
      <c r="G105" s="16" t="s">
        <v>507</v>
      </c>
      <c r="H105" s="6" t="s">
        <v>9</v>
      </c>
      <c r="I105" s="16"/>
    </row>
    <row r="106" customFormat="false" ht="15" hidden="false" customHeight="false" outlineLevel="0" collapsed="false">
      <c r="A106" s="14" t="s">
        <v>508</v>
      </c>
      <c r="B106" s="6" t="s">
        <v>35</v>
      </c>
      <c r="C106" s="6" t="s">
        <v>36</v>
      </c>
      <c r="D106" s="15" t="s">
        <v>73</v>
      </c>
      <c r="E106" s="16" t="s">
        <v>509</v>
      </c>
      <c r="F106" s="16" t="s">
        <v>510</v>
      </c>
      <c r="G106" s="16" t="s">
        <v>511</v>
      </c>
      <c r="H106" s="6" t="s">
        <v>9</v>
      </c>
      <c r="I106" s="16"/>
    </row>
    <row r="107" customFormat="false" ht="23.85" hidden="false" customHeight="false" outlineLevel="0" collapsed="false">
      <c r="A107" s="14" t="s">
        <v>512</v>
      </c>
      <c r="B107" s="6" t="s">
        <v>35</v>
      </c>
      <c r="C107" s="6" t="s">
        <v>36</v>
      </c>
      <c r="D107" s="15" t="s">
        <v>73</v>
      </c>
      <c r="E107" s="16" t="s">
        <v>513</v>
      </c>
      <c r="F107" s="16" t="s">
        <v>514</v>
      </c>
      <c r="G107" s="16" t="s">
        <v>515</v>
      </c>
      <c r="H107" s="6" t="s">
        <v>9</v>
      </c>
      <c r="I107" s="16"/>
    </row>
    <row r="108" customFormat="false" ht="15" hidden="false" customHeight="false" outlineLevel="0" collapsed="false">
      <c r="A108" s="14" t="s">
        <v>516</v>
      </c>
      <c r="B108" s="6" t="s">
        <v>35</v>
      </c>
      <c r="C108" s="6" t="s">
        <v>36</v>
      </c>
      <c r="D108" s="17" t="s">
        <v>75</v>
      </c>
      <c r="E108" s="16" t="s">
        <v>517</v>
      </c>
      <c r="F108" s="16" t="s">
        <v>518</v>
      </c>
      <c r="G108" s="16" t="s">
        <v>519</v>
      </c>
      <c r="H108" s="6" t="s">
        <v>9</v>
      </c>
      <c r="I108" s="16"/>
    </row>
    <row r="109" customFormat="false" ht="15" hidden="false" customHeight="false" outlineLevel="0" collapsed="false">
      <c r="A109" s="14" t="s">
        <v>520</v>
      </c>
      <c r="B109" s="6" t="s">
        <v>35</v>
      </c>
      <c r="C109" s="6" t="s">
        <v>36</v>
      </c>
      <c r="D109" s="17" t="s">
        <v>75</v>
      </c>
      <c r="E109" s="16" t="s">
        <v>521</v>
      </c>
      <c r="F109" s="16" t="s">
        <v>522</v>
      </c>
      <c r="G109" s="16" t="s">
        <v>523</v>
      </c>
      <c r="H109" s="6" t="s">
        <v>9</v>
      </c>
      <c r="I109" s="16"/>
    </row>
    <row r="110" customFormat="false" ht="23.85" hidden="false" customHeight="false" outlineLevel="0" collapsed="false">
      <c r="A110" s="14" t="s">
        <v>524</v>
      </c>
      <c r="B110" s="6" t="s">
        <v>35</v>
      </c>
      <c r="C110" s="6" t="s">
        <v>36</v>
      </c>
      <c r="D110" s="18" t="s">
        <v>77</v>
      </c>
      <c r="E110" s="16" t="s">
        <v>525</v>
      </c>
      <c r="F110" s="16" t="s">
        <v>526</v>
      </c>
      <c r="G110" s="16" t="s">
        <v>527</v>
      </c>
      <c r="H110" s="6" t="s">
        <v>9</v>
      </c>
      <c r="I110" s="16"/>
    </row>
    <row r="111" customFormat="false" ht="15" hidden="false" customHeight="false" outlineLevel="0" collapsed="false">
      <c r="A111" s="14" t="s">
        <v>528</v>
      </c>
      <c r="B111" s="6" t="s">
        <v>35</v>
      </c>
      <c r="C111" s="6" t="s">
        <v>36</v>
      </c>
      <c r="D111" s="18" t="s">
        <v>77</v>
      </c>
      <c r="E111" s="16" t="s">
        <v>529</v>
      </c>
      <c r="F111" s="16" t="s">
        <v>530</v>
      </c>
      <c r="G111" s="16" t="s">
        <v>531</v>
      </c>
      <c r="H111" s="6" t="s">
        <v>9</v>
      </c>
      <c r="I111" s="16"/>
    </row>
    <row r="112" customFormat="false" ht="23.85" hidden="false" customHeight="false" outlineLevel="0" collapsed="false">
      <c r="A112" s="14" t="s">
        <v>532</v>
      </c>
      <c r="B112" s="6" t="s">
        <v>37</v>
      </c>
      <c r="C112" s="6" t="s">
        <v>38</v>
      </c>
      <c r="D112" s="17" t="s">
        <v>75</v>
      </c>
      <c r="E112" s="16" t="s">
        <v>533</v>
      </c>
      <c r="F112" s="16" t="s">
        <v>534</v>
      </c>
      <c r="G112" s="16" t="s">
        <v>535</v>
      </c>
      <c r="H112" s="6" t="s">
        <v>9</v>
      </c>
      <c r="I112" s="16"/>
    </row>
    <row r="113" customFormat="false" ht="23.85" hidden="false" customHeight="false" outlineLevel="0" collapsed="false">
      <c r="A113" s="14" t="s">
        <v>536</v>
      </c>
      <c r="B113" s="6" t="s">
        <v>37</v>
      </c>
      <c r="C113" s="6" t="s">
        <v>38</v>
      </c>
      <c r="D113" s="18" t="s">
        <v>77</v>
      </c>
      <c r="E113" s="16" t="s">
        <v>537</v>
      </c>
      <c r="F113" s="16" t="s">
        <v>538</v>
      </c>
      <c r="G113" s="16" t="s">
        <v>539</v>
      </c>
      <c r="H113" s="6" t="s">
        <v>9</v>
      </c>
      <c r="I113" s="16"/>
    </row>
    <row r="114" customFormat="false" ht="15" hidden="false" customHeight="false" outlineLevel="0" collapsed="false">
      <c r="A114" s="14" t="s">
        <v>540</v>
      </c>
      <c r="B114" s="6" t="s">
        <v>37</v>
      </c>
      <c r="C114" s="6" t="s">
        <v>38</v>
      </c>
      <c r="D114" s="18" t="s">
        <v>77</v>
      </c>
      <c r="E114" s="16" t="s">
        <v>541</v>
      </c>
      <c r="F114" s="16" t="s">
        <v>542</v>
      </c>
      <c r="G114" s="16" t="s">
        <v>543</v>
      </c>
      <c r="H114" s="6" t="s">
        <v>9</v>
      </c>
      <c r="I114" s="16"/>
    </row>
    <row r="115" customFormat="false" ht="15" hidden="false" customHeight="false" outlineLevel="0" collapsed="false">
      <c r="A115" s="14" t="s">
        <v>544</v>
      </c>
      <c r="B115" s="6" t="s">
        <v>37</v>
      </c>
      <c r="C115" s="6" t="s">
        <v>38</v>
      </c>
      <c r="D115" s="18" t="s">
        <v>77</v>
      </c>
      <c r="E115" s="16" t="s">
        <v>545</v>
      </c>
      <c r="F115" s="16" t="s">
        <v>546</v>
      </c>
      <c r="G115" s="16" t="s">
        <v>547</v>
      </c>
      <c r="H115" s="6" t="s">
        <v>9</v>
      </c>
      <c r="I115" s="16"/>
    </row>
  </sheetData>
  <autoFilter ref="A1:I115"/>
  <conditionalFormatting sqref="H2:H115">
    <cfRule type="cellIs" priority="2" operator="equal" aboveAverage="0" equalAverage="0" bottom="0" percent="0" rank="0" text="" dxfId="8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10">
      <formula>"Blocked"</formula>
    </cfRule>
    <cfRule type="cellIs" priority="5" operator="equal" aboveAverage="0" equalAverage="0" bottom="0" percent="0" rank="0" text="" dxfId="11">
      <formula>"N/A"</formula>
    </cfRule>
    <cfRule type="cellIs" priority="6" operator="equal" aboveAverage="0" equalAverage="0" bottom="0" percent="0" rank="0" text="" dxfId="12">
      <formula>"Not Run"</formula>
    </cfRule>
  </conditionalFormatting>
  <dataValidations count="1">
    <dataValidation allowBlank="false" errorStyle="stop" operator="between" showDropDown="false" showErrorMessage="false" showInputMessage="false" sqref="H2:H115" type="list">
      <formula1>"Not Run,Pass,Fail,Blocked,N/A"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2026-05-26T05:02:48Z</dcterms:created>
  <dc:creator>openpyxl</dc:creator>
  <dc:description/>
  <dc:language>en-US</dc:language>
  <cp:lastModifiedBy/>
  <dcterms:modified xsi:type="dcterms:W3CDTF">2026-05-26T05:02:48Z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