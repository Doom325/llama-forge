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Read Me" sheetId="2" state="visible" r:id="rId2"/>
    <sheet xmlns:r="http://schemas.openxmlformats.org/officeDocument/2006/relationships" name="Test Tracker" sheetId="3" state="visible" r:id="rId3"/>
  </sheets>
  <definedNames>
    <definedName name="_xlnm._FilterDatabase" localSheetId="2" hidden="1">'Test Tracker'!$A$1:$I$115</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1"/>
    </font>
    <font>
      <name val="Arial"/>
      <charset val="1"/>
      <family val="0"/>
      <b val="1"/>
      <sz val="10"/>
    </font>
    <font>
      <name val="Arial"/>
      <charset val="1"/>
      <family val="0"/>
      <sz val="10"/>
    </font>
    <font>
      <name val="Arial"/>
      <charset val="1"/>
      <family val="0"/>
      <b val="1"/>
      <color rgb="FFFFFFFF"/>
      <sz val="10"/>
    </font>
  </fonts>
  <fills count="7">
    <fill>
      <patternFill/>
    </fill>
    <fill>
      <patternFill patternType="gray125"/>
    </fill>
    <fill>
      <patternFill patternType="solid">
        <fgColor rgb="FF1F3864"/>
        <bgColor rgb="FF333333"/>
      </patternFill>
    </fill>
    <fill>
      <patternFill patternType="solid">
        <fgColor rgb="FFDDEBF7"/>
        <bgColor rgb="FFF2F2F2"/>
      </patternFill>
    </fill>
    <fill>
      <patternFill patternType="solid">
        <fgColor rgb="FFC00000"/>
        <bgColor rgb="FF9C0006"/>
      </patternFill>
    </fill>
    <fill>
      <patternFill patternType="solid">
        <fgColor rgb="FFED7D31"/>
        <bgColor rgb="FFFF8080"/>
      </patternFill>
    </fill>
    <fill>
      <patternFill patternType="solid">
        <fgColor rgb="FFA6A6A6"/>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center" vertical="center"/>
    </xf>
    <xf numFmtId="9" fontId="7" fillId="3" borderId="1" applyAlignment="1" pivotButton="0" quotePrefix="0" xfId="0">
      <alignment horizontal="center"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0" borderId="1" applyAlignment="1" pivotButton="0" quotePrefix="0" xfId="0">
      <alignment horizontal="center" vertical="center"/>
    </xf>
    <xf numFmtId="0" fontId="9" fillId="4" borderId="1" applyAlignment="1" pivotButton="0" quotePrefix="0" xfId="0">
      <alignment horizontal="center" vertical="center"/>
    </xf>
    <xf numFmtId="0" fontId="8" fillId="0" borderId="1" applyAlignment="1" pivotButton="0" quotePrefix="0" xfId="0">
      <alignment horizontal="general"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0" fontId="8" fillId="0" borderId="1" applyAlignment="1" pivotButton="0" quotePrefix="0" xfId="0">
      <alignment horizontal="general" vertical="bottom"/>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center" vertical="center"/>
    </xf>
    <xf numFmtId="9" fontId="7" fillId="3" borderId="1" applyAlignment="1" pivotButton="0" quotePrefix="0" xfId="0">
      <alignment horizontal="center"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0" borderId="1" applyAlignment="1" pivotButton="0" quotePrefix="0" xfId="0">
      <alignment horizontal="center" vertical="center"/>
    </xf>
    <xf numFmtId="0" fontId="9" fillId="4" borderId="1" applyAlignment="1" pivotButton="0" quotePrefix="0" xfId="0">
      <alignment horizontal="center" vertical="center"/>
    </xf>
    <xf numFmtId="0" fontId="8" fillId="0" borderId="1" applyAlignment="1" pivotButton="0" quotePrefix="0" xfId="0">
      <alignment horizontal="general"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A6A6A6"/>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2F2F2"/>
          <bgColor rgb="FF000000"/>
        </patternFill>
      </fill>
    </dxf>
    <dxf>
      <fill>
        <patternFill patternType="solid">
          <fgColor rgb="FF808080"/>
          <bgColor rgb="FF000000"/>
        </patternFill>
      </fill>
    </dxf>
    <dxf>
      <font>
        <name val="Arial"/>
        <charset val="1"/>
        <family val="0"/>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color rgb="FF9C6500"/>
        <sz val="10"/>
      </font>
      <fill>
        <patternFill>
          <bgColor rgb="FFFFEB9C"/>
        </patternFill>
      </fill>
    </dxf>
    <dxf>
      <font>
        <name val="Arial"/>
        <charset val="1"/>
        <family val="0"/>
        <color rgb="FF595959"/>
        <sz val="10"/>
      </font>
      <fill>
        <patternFill>
          <bgColor rgb="FFD9D9D9"/>
        </patternFill>
      </fill>
    </dxf>
    <dxf>
      <font>
        <name val="Arial"/>
        <charset val="1"/>
        <family val="0"/>
        <color rgb="FF808080"/>
        <sz val="10"/>
      </font>
      <fill>
        <patternFill>
          <bgColor rgb="FFF2F2F2"/>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ED7D3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25"/>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9" min="1" max="1"/>
    <col width="24" customWidth="1" style="19" min="2" max="2"/>
    <col width="10" customWidth="1" style="19" min="3" max="8"/>
    <col width="12" customWidth="1" style="19" min="9" max="9"/>
  </cols>
  <sheetData>
    <row r="1" ht="19.7" customHeight="1" s="20">
      <c r="A1" s="21" t="inlineStr">
        <is>
          <t>LlamaForge Manual E2E — Live Summary</t>
        </is>
      </c>
    </row>
    <row r="2" ht="15" customHeight="1" s="20">
      <c r="A2" s="22" t="inlineStr">
        <is>
          <t>Counts update automatically from the Test Tracker Status column.</t>
        </is>
      </c>
    </row>
    <row r="4" ht="26.85" customHeight="1" s="20">
      <c r="A4" s="23" t="inlineStr">
        <is>
          <t>Phase</t>
        </is>
      </c>
      <c r="B4" s="23" t="inlineStr">
        <is>
          <t>Area</t>
        </is>
      </c>
      <c r="C4" s="23" t="inlineStr">
        <is>
          <t># Tests</t>
        </is>
      </c>
      <c r="D4" s="23" t="inlineStr">
        <is>
          <t>Pass</t>
        </is>
      </c>
      <c r="E4" s="23" t="inlineStr">
        <is>
          <t>Fail</t>
        </is>
      </c>
      <c r="F4" s="23" t="inlineStr">
        <is>
          <t>Blocked</t>
        </is>
      </c>
      <c r="G4" s="23" t="inlineStr">
        <is>
          <t>N/A</t>
        </is>
      </c>
      <c r="H4" s="23" t="inlineStr">
        <is>
          <t>Not Run</t>
        </is>
      </c>
      <c r="I4" s="23" t="inlineStr">
        <is>
          <t>% Complete</t>
        </is>
      </c>
    </row>
    <row r="5" ht="15" customHeight="1" s="20">
      <c r="A5" s="24" t="inlineStr">
        <is>
          <t>BLD</t>
        </is>
      </c>
      <c r="B5" s="25" t="inlineStr">
        <is>
          <t>Build &amp; artifacts</t>
        </is>
      </c>
      <c r="C5" s="26">
        <f>COUNTIF('Test Tracker'!$B:$B,$A5)</f>
        <v/>
      </c>
      <c r="D5" s="26">
        <f>COUNTIFS('Test Tracker'!$B:$B,$A5,'Test Tracker'!$H:$H,"Pass")</f>
        <v/>
      </c>
      <c r="E5" s="26">
        <f>COUNTIFS('Test Tracker'!$B:$B,$A5,'Test Tracker'!$H:$H,"Fail")</f>
        <v/>
      </c>
      <c r="F5" s="26">
        <f>COUNTIFS('Test Tracker'!$B:$B,$A5,'Test Tracker'!$H:$H,"Blocked")</f>
        <v/>
      </c>
      <c r="G5" s="26">
        <f>COUNTIFS('Test Tracker'!$B:$B,$A5,'Test Tracker'!$H:$H,"N/A")</f>
        <v/>
      </c>
      <c r="H5" s="26">
        <f>COUNTIFS('Test Tracker'!$B:$B,$A5,'Test Tracker'!$H:$H,"Not Run")</f>
        <v/>
      </c>
      <c r="I5" s="27">
        <f>IF($C5=0,0,($C5-$H5)/$C5)</f>
        <v/>
      </c>
    </row>
    <row r="6" ht="15" customHeight="1" s="20">
      <c r="A6" s="24" t="inlineStr">
        <is>
          <t>A</t>
        </is>
      </c>
      <c r="B6" s="25" t="inlineStr">
        <is>
          <t>Installation &amp; CLI</t>
        </is>
      </c>
      <c r="C6" s="26">
        <f>COUNTIF('Test Tracker'!$B:$B,$A6)</f>
        <v/>
      </c>
      <c r="D6" s="26">
        <f>COUNTIFS('Test Tracker'!$B:$B,$A6,'Test Tracker'!$H:$H,"Pass")</f>
        <v/>
      </c>
      <c r="E6" s="26">
        <f>COUNTIFS('Test Tracker'!$B:$B,$A6,'Test Tracker'!$H:$H,"Fail")</f>
        <v/>
      </c>
      <c r="F6" s="26">
        <f>COUNTIFS('Test Tracker'!$B:$B,$A6,'Test Tracker'!$H:$H,"Blocked")</f>
        <v/>
      </c>
      <c r="G6" s="26">
        <f>COUNTIFS('Test Tracker'!$B:$B,$A6,'Test Tracker'!$H:$H,"N/A")</f>
        <v/>
      </c>
      <c r="H6" s="26">
        <f>COUNTIFS('Test Tracker'!$B:$B,$A6,'Test Tracker'!$H:$H,"Not Run")</f>
        <v/>
      </c>
      <c r="I6" s="27">
        <f>IF($C6=0,0,($C6-$H6)/$C6)</f>
        <v/>
      </c>
    </row>
    <row r="7" ht="15" customHeight="1" s="20">
      <c r="A7" s="24" t="inlineStr">
        <is>
          <t>B</t>
        </is>
      </c>
      <c r="B7" s="25" t="inlineStr">
        <is>
          <t>Configuration</t>
        </is>
      </c>
      <c r="C7" s="26">
        <f>COUNTIF('Test Tracker'!$B:$B,$A7)</f>
        <v/>
      </c>
      <c r="D7" s="26">
        <f>COUNTIFS('Test Tracker'!$B:$B,$A7,'Test Tracker'!$H:$H,"Pass")</f>
        <v/>
      </c>
      <c r="E7" s="26">
        <f>COUNTIFS('Test Tracker'!$B:$B,$A7,'Test Tracker'!$H:$H,"Fail")</f>
        <v/>
      </c>
      <c r="F7" s="26">
        <f>COUNTIFS('Test Tracker'!$B:$B,$A7,'Test Tracker'!$H:$H,"Blocked")</f>
        <v/>
      </c>
      <c r="G7" s="26">
        <f>COUNTIFS('Test Tracker'!$B:$B,$A7,'Test Tracker'!$H:$H,"N/A")</f>
        <v/>
      </c>
      <c r="H7" s="26">
        <f>COUNTIFS('Test Tracker'!$B:$B,$A7,'Test Tracker'!$H:$H,"Not Run")</f>
        <v/>
      </c>
      <c r="I7" s="27">
        <f>IF($C7=0,0,($C7-$H7)/$C7)</f>
        <v/>
      </c>
    </row>
    <row r="8" ht="15" customHeight="1" s="20">
      <c r="A8" s="24" t="inlineStr">
        <is>
          <t>C</t>
        </is>
      </c>
      <c r="B8" s="25" t="inlineStr">
        <is>
          <t>Launch &amp; lifecycle</t>
        </is>
      </c>
      <c r="C8" s="26">
        <f>COUNTIF('Test Tracker'!$B:$B,$A8)</f>
        <v/>
      </c>
      <c r="D8" s="26">
        <f>COUNTIFS('Test Tracker'!$B:$B,$A8,'Test Tracker'!$H:$H,"Pass")</f>
        <v/>
      </c>
      <c r="E8" s="26">
        <f>COUNTIFS('Test Tracker'!$B:$B,$A8,'Test Tracker'!$H:$H,"Fail")</f>
        <v/>
      </c>
      <c r="F8" s="26">
        <f>COUNTIFS('Test Tracker'!$B:$B,$A8,'Test Tracker'!$H:$H,"Blocked")</f>
        <v/>
      </c>
      <c r="G8" s="26">
        <f>COUNTIFS('Test Tracker'!$B:$B,$A8,'Test Tracker'!$H:$H,"N/A")</f>
        <v/>
      </c>
      <c r="H8" s="26">
        <f>COUNTIFS('Test Tracker'!$B:$B,$A8,'Test Tracker'!$H:$H,"Not Run")</f>
        <v/>
      </c>
      <c r="I8" s="27">
        <f>IF($C8=0,0,($C8-$H8)/$C8)</f>
        <v/>
      </c>
    </row>
    <row r="9" ht="15" customHeight="1" s="20">
      <c r="A9" s="24" t="inlineStr">
        <is>
          <t>D</t>
        </is>
      </c>
      <c r="B9" s="25" t="inlineStr">
        <is>
          <t>OpenAI HTTP API</t>
        </is>
      </c>
      <c r="C9" s="26">
        <f>COUNTIF('Test Tracker'!$B:$B,$A9)</f>
        <v/>
      </c>
      <c r="D9" s="26">
        <f>COUNTIFS('Test Tracker'!$B:$B,$A9,'Test Tracker'!$H:$H,"Pass")</f>
        <v/>
      </c>
      <c r="E9" s="26">
        <f>COUNTIFS('Test Tracker'!$B:$B,$A9,'Test Tracker'!$H:$H,"Fail")</f>
        <v/>
      </c>
      <c r="F9" s="26">
        <f>COUNTIFS('Test Tracker'!$B:$B,$A9,'Test Tracker'!$H:$H,"Blocked")</f>
        <v/>
      </c>
      <c r="G9" s="26">
        <f>COUNTIFS('Test Tracker'!$B:$B,$A9,'Test Tracker'!$H:$H,"N/A")</f>
        <v/>
      </c>
      <c r="H9" s="26">
        <f>COUNTIFS('Test Tracker'!$B:$B,$A9,'Test Tracker'!$H:$H,"Not Run")</f>
        <v/>
      </c>
      <c r="I9" s="27">
        <f>IF($C9=0,0,($C9-$H9)/$C9)</f>
        <v/>
      </c>
    </row>
    <row r="10" ht="15" customHeight="1" s="20">
      <c r="A10" s="24" t="inlineStr">
        <is>
          <t>E</t>
        </is>
      </c>
      <c r="B10" s="25" t="inlineStr">
        <is>
          <t>Anthropic HTTP API</t>
        </is>
      </c>
      <c r="C10" s="26">
        <f>COUNTIF('Test Tracker'!$B:$B,$A10)</f>
        <v/>
      </c>
      <c r="D10" s="26">
        <f>COUNTIFS('Test Tracker'!$B:$B,$A10,'Test Tracker'!$H:$H,"Pass")</f>
        <v/>
      </c>
      <c r="E10" s="26">
        <f>COUNTIFS('Test Tracker'!$B:$B,$A10,'Test Tracker'!$H:$H,"Fail")</f>
        <v/>
      </c>
      <c r="F10" s="26">
        <f>COUNTIFS('Test Tracker'!$B:$B,$A10,'Test Tracker'!$H:$H,"Blocked")</f>
        <v/>
      </c>
      <c r="G10" s="26">
        <f>COUNTIFS('Test Tracker'!$B:$B,$A10,'Test Tracker'!$H:$H,"N/A")</f>
        <v/>
      </c>
      <c r="H10" s="26">
        <f>COUNTIFS('Test Tracker'!$B:$B,$A10,'Test Tracker'!$H:$H,"Not Run")</f>
        <v/>
      </c>
      <c r="I10" s="27">
        <f>IF($C10=0,0,($C10-$H10)/$C10)</f>
        <v/>
      </c>
    </row>
    <row r="11" ht="15" customHeight="1" s="20">
      <c r="A11" s="24" t="inlineStr">
        <is>
          <t>F</t>
        </is>
      </c>
      <c r="B11" s="25" t="inlineStr">
        <is>
          <t>gRPC core</t>
        </is>
      </c>
      <c r="C11" s="26">
        <f>COUNTIF('Test Tracker'!$B:$B,$A11)</f>
        <v/>
      </c>
      <c r="D11" s="26">
        <f>COUNTIFS('Test Tracker'!$B:$B,$A11,'Test Tracker'!$H:$H,"Pass")</f>
        <v/>
      </c>
      <c r="E11" s="26">
        <f>COUNTIFS('Test Tracker'!$B:$B,$A11,'Test Tracker'!$H:$H,"Fail")</f>
        <v/>
      </c>
      <c r="F11" s="26">
        <f>COUNTIFS('Test Tracker'!$B:$B,$A11,'Test Tracker'!$H:$H,"Blocked")</f>
        <v/>
      </c>
      <c r="G11" s="26">
        <f>COUNTIFS('Test Tracker'!$B:$B,$A11,'Test Tracker'!$H:$H,"N/A")</f>
        <v/>
      </c>
      <c r="H11" s="26">
        <f>COUNTIFS('Test Tracker'!$B:$B,$A11,'Test Tracker'!$H:$H,"Not Run")</f>
        <v/>
      </c>
      <c r="I11" s="27">
        <f>IF($C11=0,0,($C11-$H11)/$C11)</f>
        <v/>
      </c>
    </row>
    <row r="12" ht="15" customHeight="1" s="20">
      <c r="A12" s="24" t="inlineStr">
        <is>
          <t>G</t>
        </is>
      </c>
      <c r="B12" s="25" t="inlineStr">
        <is>
          <t>Management API</t>
        </is>
      </c>
      <c r="C12" s="26">
        <f>COUNTIF('Test Tracker'!$B:$B,$A12)</f>
        <v/>
      </c>
      <c r="D12" s="26">
        <f>COUNTIFS('Test Tracker'!$B:$B,$A12,'Test Tracker'!$H:$H,"Pass")</f>
        <v/>
      </c>
      <c r="E12" s="26">
        <f>COUNTIFS('Test Tracker'!$B:$B,$A12,'Test Tracker'!$H:$H,"Fail")</f>
        <v/>
      </c>
      <c r="F12" s="26">
        <f>COUNTIFS('Test Tracker'!$B:$B,$A12,'Test Tracker'!$H:$H,"Blocked")</f>
        <v/>
      </c>
      <c r="G12" s="26">
        <f>COUNTIFS('Test Tracker'!$B:$B,$A12,'Test Tracker'!$H:$H,"N/A")</f>
        <v/>
      </c>
      <c r="H12" s="26">
        <f>COUNTIFS('Test Tracker'!$B:$B,$A12,'Test Tracker'!$H:$H,"Not Run")</f>
        <v/>
      </c>
      <c r="I12" s="27">
        <f>IF($C12=0,0,($C12-$H12)/$C12)</f>
        <v/>
      </c>
    </row>
    <row r="13" ht="15" customHeight="1" s="20">
      <c r="A13" s="24" t="inlineStr">
        <is>
          <t>H</t>
        </is>
      </c>
      <c r="B13" s="25" t="inlineStr">
        <is>
          <t>Routing &amp; scheduling</t>
        </is>
      </c>
      <c r="C13" s="26">
        <f>COUNTIF('Test Tracker'!$B:$B,$A13)</f>
        <v/>
      </c>
      <c r="D13" s="26">
        <f>COUNTIFS('Test Tracker'!$B:$B,$A13,'Test Tracker'!$H:$H,"Pass")</f>
        <v/>
      </c>
      <c r="E13" s="26">
        <f>COUNTIFS('Test Tracker'!$B:$B,$A13,'Test Tracker'!$H:$H,"Fail")</f>
        <v/>
      </c>
      <c r="F13" s="26">
        <f>COUNTIFS('Test Tracker'!$B:$B,$A13,'Test Tracker'!$H:$H,"Blocked")</f>
        <v/>
      </c>
      <c r="G13" s="26">
        <f>COUNTIFS('Test Tracker'!$B:$B,$A13,'Test Tracker'!$H:$H,"N/A")</f>
        <v/>
      </c>
      <c r="H13" s="26">
        <f>COUNTIFS('Test Tracker'!$B:$B,$A13,'Test Tracker'!$H:$H,"Not Run")</f>
        <v/>
      </c>
      <c r="I13" s="27">
        <f>IF($C13=0,0,($C13-$H13)/$C13)</f>
        <v/>
      </c>
    </row>
    <row r="14" ht="15" customHeight="1" s="20">
      <c r="A14" s="24" t="inlineStr">
        <is>
          <t>I</t>
        </is>
      </c>
      <c r="B14" s="25" t="inlineStr">
        <is>
          <t>Observability</t>
        </is>
      </c>
      <c r="C14" s="26">
        <f>COUNTIF('Test Tracker'!$B:$B,$A14)</f>
        <v/>
      </c>
      <c r="D14" s="26">
        <f>COUNTIFS('Test Tracker'!$B:$B,$A14,'Test Tracker'!$H:$H,"Pass")</f>
        <v/>
      </c>
      <c r="E14" s="26">
        <f>COUNTIFS('Test Tracker'!$B:$B,$A14,'Test Tracker'!$H:$H,"Fail")</f>
        <v/>
      </c>
      <c r="F14" s="26">
        <f>COUNTIFS('Test Tracker'!$B:$B,$A14,'Test Tracker'!$H:$H,"Blocked")</f>
        <v/>
      </c>
      <c r="G14" s="26">
        <f>COUNTIFS('Test Tracker'!$B:$B,$A14,'Test Tracker'!$H:$H,"N/A")</f>
        <v/>
      </c>
      <c r="H14" s="26">
        <f>COUNTIFS('Test Tracker'!$B:$B,$A14,'Test Tracker'!$H:$H,"Not Run")</f>
        <v/>
      </c>
      <c r="I14" s="27">
        <f>IF($C14=0,0,($C14-$H14)/$C14)</f>
        <v/>
      </c>
    </row>
    <row r="15" ht="15" customHeight="1" s="20">
      <c r="A15" s="24" t="inlineStr">
        <is>
          <t>J</t>
        </is>
      </c>
      <c r="B15" s="25" t="inlineStr">
        <is>
          <t>Security &amp; auth</t>
        </is>
      </c>
      <c r="C15" s="26">
        <f>COUNTIF('Test Tracker'!$B:$B,$A15)</f>
        <v/>
      </c>
      <c r="D15" s="26">
        <f>COUNTIFS('Test Tracker'!$B:$B,$A15,'Test Tracker'!$H:$H,"Pass")</f>
        <v/>
      </c>
      <c r="E15" s="26">
        <f>COUNTIFS('Test Tracker'!$B:$B,$A15,'Test Tracker'!$H:$H,"Fail")</f>
        <v/>
      </c>
      <c r="F15" s="26">
        <f>COUNTIFS('Test Tracker'!$B:$B,$A15,'Test Tracker'!$H:$H,"Blocked")</f>
        <v/>
      </c>
      <c r="G15" s="26">
        <f>COUNTIFS('Test Tracker'!$B:$B,$A15,'Test Tracker'!$H:$H,"N/A")</f>
        <v/>
      </c>
      <c r="H15" s="26">
        <f>COUNTIFS('Test Tracker'!$B:$B,$A15,'Test Tracker'!$H:$H,"Not Run")</f>
        <v/>
      </c>
      <c r="I15" s="27">
        <f>IF($C15=0,0,($C15-$H15)/$C15)</f>
        <v/>
      </c>
    </row>
    <row r="16" ht="15" customHeight="1" s="20">
      <c r="A16" s="24" t="inlineStr">
        <is>
          <t>K</t>
        </is>
      </c>
      <c r="B16" s="25" t="inlineStr">
        <is>
          <t>Failure &amp; chaos</t>
        </is>
      </c>
      <c r="C16" s="26">
        <f>COUNTIF('Test Tracker'!$B:$B,$A16)</f>
        <v/>
      </c>
      <c r="D16" s="26">
        <f>COUNTIFS('Test Tracker'!$B:$B,$A16,'Test Tracker'!$H:$H,"Pass")</f>
        <v/>
      </c>
      <c r="E16" s="26">
        <f>COUNTIFS('Test Tracker'!$B:$B,$A16,'Test Tracker'!$H:$H,"Fail")</f>
        <v/>
      </c>
      <c r="F16" s="26">
        <f>COUNTIFS('Test Tracker'!$B:$B,$A16,'Test Tracker'!$H:$H,"Blocked")</f>
        <v/>
      </c>
      <c r="G16" s="26">
        <f>COUNTIFS('Test Tracker'!$B:$B,$A16,'Test Tracker'!$H:$H,"N/A")</f>
        <v/>
      </c>
      <c r="H16" s="26">
        <f>COUNTIFS('Test Tracker'!$B:$B,$A16,'Test Tracker'!$H:$H,"Not Run")</f>
        <v/>
      </c>
      <c r="I16" s="27">
        <f>IF($C16=0,0,($C16-$H16)/$C16)</f>
        <v/>
      </c>
    </row>
    <row r="17" ht="15" customHeight="1" s="20">
      <c r="A17" s="24" t="inlineStr">
        <is>
          <t>L</t>
        </is>
      </c>
      <c r="B17" s="25" t="inlineStr">
        <is>
          <t>Config hot-reload</t>
        </is>
      </c>
      <c r="C17" s="26">
        <f>COUNTIF('Test Tracker'!$B:$B,$A17)</f>
        <v/>
      </c>
      <c r="D17" s="26">
        <f>COUNTIFS('Test Tracker'!$B:$B,$A17,'Test Tracker'!$H:$H,"Pass")</f>
        <v/>
      </c>
      <c r="E17" s="26">
        <f>COUNTIFS('Test Tracker'!$B:$B,$A17,'Test Tracker'!$H:$H,"Fail")</f>
        <v/>
      </c>
      <c r="F17" s="26">
        <f>COUNTIFS('Test Tracker'!$B:$B,$A17,'Test Tracker'!$H:$H,"Blocked")</f>
        <v/>
      </c>
      <c r="G17" s="26">
        <f>COUNTIFS('Test Tracker'!$B:$B,$A17,'Test Tracker'!$H:$H,"N/A")</f>
        <v/>
      </c>
      <c r="H17" s="26">
        <f>COUNTIFS('Test Tracker'!$B:$B,$A17,'Test Tracker'!$H:$H,"Not Run")</f>
        <v/>
      </c>
      <c r="I17" s="27">
        <f>IF($C17=0,0,($C17-$H17)/$C17)</f>
        <v/>
      </c>
    </row>
    <row r="18" ht="15" customHeight="1" s="20">
      <c r="A18" s="24" t="inlineStr">
        <is>
          <t>M</t>
        </is>
      </c>
      <c r="B18" s="25" t="inlineStr">
        <is>
          <t>Teardown &amp; maintenance</t>
        </is>
      </c>
      <c r="C18" s="26">
        <f>COUNTIF('Test Tracker'!$B:$B,$A18)</f>
        <v/>
      </c>
      <c r="D18" s="26">
        <f>COUNTIFS('Test Tracker'!$B:$B,$A18,'Test Tracker'!$H:$H,"Pass")</f>
        <v/>
      </c>
      <c r="E18" s="26">
        <f>COUNTIFS('Test Tracker'!$B:$B,$A18,'Test Tracker'!$H:$H,"Fail")</f>
        <v/>
      </c>
      <c r="F18" s="26">
        <f>COUNTIFS('Test Tracker'!$B:$B,$A18,'Test Tracker'!$H:$H,"Blocked")</f>
        <v/>
      </c>
      <c r="G18" s="26">
        <f>COUNTIFS('Test Tracker'!$B:$B,$A18,'Test Tracker'!$H:$H,"N/A")</f>
        <v/>
      </c>
      <c r="H18" s="26">
        <f>COUNTIFS('Test Tracker'!$B:$B,$A18,'Test Tracker'!$H:$H,"Not Run")</f>
        <v/>
      </c>
      <c r="I18" s="27">
        <f>IF($C18=0,0,($C18-$H18)/$C18)</f>
        <v/>
      </c>
    </row>
    <row r="19" ht="15" customHeight="1" s="20">
      <c r="A19" s="28" t="inlineStr">
        <is>
          <t>TOTAL</t>
        </is>
      </c>
      <c r="B19" s="28" t="inlineStr">
        <is>
          <t>All phases</t>
        </is>
      </c>
      <c r="C19" s="29">
        <f>SUM(C5:C18)</f>
        <v/>
      </c>
      <c r="D19" s="29">
        <f>SUM(D5:D18)</f>
        <v/>
      </c>
      <c r="E19" s="29">
        <f>SUM(E5:E18)</f>
        <v/>
      </c>
      <c r="F19" s="29">
        <f>SUM(F5:F18)</f>
        <v/>
      </c>
      <c r="G19" s="29">
        <f>SUM(G5:G18)</f>
        <v/>
      </c>
      <c r="H19" s="29">
        <f>SUM(H5:H18)</f>
        <v/>
      </c>
      <c r="I19" s="30">
        <f>IF($C19=0,0,($C19-$H19)/$C19)</f>
        <v/>
      </c>
    </row>
    <row r="22" ht="15" customHeight="1" s="20">
      <c r="A22" s="31" t="inlineStr">
        <is>
          <t>Overall verdict:</t>
        </is>
      </c>
      <c r="B22" s="32" t="inlineStr">
        <is>
          <t>(Ship / Ship with caveats / Hold)</t>
        </is>
      </c>
    </row>
    <row r="23" ht="15" customHeight="1" s="20">
      <c r="A23" s="31" t="inlineStr">
        <is>
          <t>Tester:</t>
        </is>
      </c>
      <c r="B23" s="32" t="n"/>
    </row>
    <row r="24" ht="15" customHeight="1" s="20">
      <c r="A24" s="31" t="inlineStr">
        <is>
          <t>Run date:</t>
        </is>
      </c>
      <c r="B24" s="32" t="n"/>
    </row>
    <row r="25" ht="15" customHeight="1" s="20">
      <c r="A25" s="31" t="inlineStr">
        <is>
          <t>Build SHA:</t>
        </is>
      </c>
      <c r="B25"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19" min="1" max="1"/>
    <col width="110" customWidth="1" style="19" min="2" max="2"/>
  </cols>
  <sheetData>
    <row r="1" ht="19.7" customHeight="1" s="20">
      <c r="A1" s="21" t="inlineStr">
        <is>
          <t>LlamaForge — Manual E2E Test Tracker</t>
        </is>
      </c>
    </row>
    <row r="2" ht="15" customHeight="1" s="20">
      <c r="A2" s="22" t="inlineStr">
        <is>
          <t>Build v0.1.0-draft  |  Primary: Linux (Fedora/Bazzite) on Strix Halo + Vulkan llama.cpp  |  Then: macOS (Metal)</t>
        </is>
      </c>
    </row>
    <row r="5" ht="15" customHeight="1" s="20">
      <c r="A5" s="31" t="inlineStr">
        <is>
          <t>How to use</t>
        </is>
      </c>
      <c r="B5" s="33" t="n"/>
    </row>
    <row r="6" ht="15" customHeight="1" s="20">
      <c r="A6" s="31" t="inlineStr">
        <is>
          <t>1.</t>
        </is>
      </c>
      <c r="B6" s="33" t="inlineStr">
        <is>
          <t>Work the 'Test Tracker' tab top-to-bottom. Phases BLD/A/C must pass before later phases are meaningful.</t>
        </is>
      </c>
    </row>
    <row r="7" ht="15" customHeight="1" s="20">
      <c r="A7" s="31" t="inlineStr">
        <is>
          <t>2.</t>
        </is>
      </c>
      <c r="B7" s="33" t="inlineStr">
        <is>
          <t>Set the Status dropdown for each test: Not Run / Pass / Fail / Blocked / N/A. Cells colour automatically.</t>
        </is>
      </c>
    </row>
    <row r="8" ht="15" customHeight="1" s="20">
      <c r="A8" s="31" t="inlineStr">
        <is>
          <t>3.</t>
        </is>
      </c>
      <c r="B8" s="33" t="inlineStr">
        <is>
          <t>Record what you actually saw in 'Observed Result / Notes'.</t>
        </is>
      </c>
    </row>
    <row r="9" ht="15" customHeight="1" s="20">
      <c r="A9" s="31" t="inlineStr">
        <is>
          <t>4.</t>
        </is>
      </c>
      <c r="B9" s="33" t="inlineStr">
        <is>
          <t>The 'Summary' tab tallies live from the Status column (no manual counting).</t>
        </is>
      </c>
    </row>
    <row r="10" ht="15" customHeight="1" s="20">
      <c r="A10" s="31" t="inlineStr">
        <is>
          <t>5.</t>
        </is>
      </c>
      <c r="B10" s="33" t="inlineStr">
        <is>
          <t>Companion narrative with full commands &amp; rationale: docs/MANUAL_E2E_TEST_PLAN.md</t>
        </is>
      </c>
    </row>
    <row r="12" ht="15" customHeight="1" s="20">
      <c r="A12" s="31" t="inlineStr">
        <is>
          <t>Shell setup (run once)</t>
        </is>
      </c>
      <c r="B12" s="33" t="n"/>
    </row>
    <row r="13" ht="15" customHeight="1" s="20">
      <c r="A13" s="31" t="n"/>
      <c r="B13" s="33" t="inlineStr">
        <is>
          <t>export HTTP=http://127.0.0.1:8000</t>
        </is>
      </c>
    </row>
    <row r="14" ht="15" customHeight="1" s="20">
      <c r="A14" s="31" t="n"/>
      <c r="B14" s="33" t="inlineStr">
        <is>
          <t>export GRPC=127.0.0.1:50051</t>
        </is>
      </c>
    </row>
    <row r="15" ht="15" customHeight="1" s="20">
      <c r="A15" s="31" t="n"/>
      <c r="B15" s="33" t="inlineStr">
        <is>
          <t>export CFG=$HOME/.config/llamaforge/llamaforge.toml</t>
        </is>
      </c>
    </row>
    <row r="16" ht="15" customHeight="1" s="20">
      <c r="A16" s="31" t="n"/>
      <c r="B16" s="33" t="inlineStr">
        <is>
          <t>export RULES=$HOME/.config/llamaforge/priority_rules.toml</t>
        </is>
      </c>
    </row>
    <row r="17" ht="15" customHeight="1" s="20">
      <c r="A17" s="31" t="n"/>
      <c r="B17" s="33" t="inlineStr">
        <is>
          <t>export LF=./target/release/llamaforge</t>
        </is>
      </c>
    </row>
    <row r="19" ht="15" customHeight="1" s="20">
      <c r="A19" s="31" t="inlineStr">
        <is>
          <t>Strix Halo / Linux environment</t>
        </is>
      </c>
      <c r="B19" s="33" t="n"/>
    </row>
    <row r="20" ht="23.85" customHeight="1" s="20">
      <c r="A20" s="31" t="inlineStr">
        <is>
          <t>•</t>
        </is>
      </c>
      <c r="B20" s="33" t="inlineStr">
        <is>
          <t>Build needs the mold linker on PATH (x86_64 Linux). On Bazzite (atomic Fedora) build inside a toolbox/distrobox; install mold/protoc/grpcurl/jq/sqlite there.</t>
        </is>
      </c>
    </row>
    <row r="21" ht="23.85" customHeight="1" s="20">
      <c r="A21" s="31" t="inlineStr">
        <is>
          <t>•</t>
        </is>
      </c>
      <c r="B21" s="33" t="inlineStr">
        <is>
          <t>llama.cpp built with Vulkan (-DGGML_VULKAN=ON). Verify GPU with: vulkaninfo --summary and llama-server --list-devices (Radeon 8060S / gfx1151).</t>
        </is>
      </c>
    </row>
    <row r="22" ht="23.85" customHeight="1" s="20">
      <c r="A22" s="31" t="inlineStr">
        <is>
          <t>•</t>
        </is>
      </c>
      <c r="B22" s="33" t="inlineStr">
        <is>
          <t>Unified memory: no dedicated VRAM. gpu_layers=-1 offloads all layers; GPU uses the GTT heap from the 128 GB pool. estimated_vram_mb is a hint, not a cap. Watch free -h / amdgpu_top, not a discrete VRAM number.</t>
        </is>
      </c>
    </row>
    <row r="23" ht="23.85" customHeight="1" s="20">
      <c r="A23" s="31" t="inlineStr">
        <is>
          <t>•</t>
        </is>
      </c>
      <c r="B23" s="33" t="inlineStr">
        <is>
          <t>Default state dir: Linux ~/.local/state/llamaforge ($XDG_STATE_HOME); macOS ~/Library/Application Support/llamaforge. Config: ~/.config/llamaforge/.</t>
        </is>
      </c>
    </row>
    <row r="24" ht="23.85" customHeight="1" s="20">
      <c r="A24" s="31" t="inlineStr">
        <is>
          <t>•</t>
        </is>
      </c>
      <c r="B24" s="33" t="inlineStr">
        <is>
          <t>Signal tests (SIGTERM/SIGHUP in Phases K/L) work on Linux. They do NOT apply on native Windows (only Ctrl-C); the binary also imports std::os::unix and likely won't build on native Windows.</t>
        </is>
      </c>
    </row>
    <row r="26" ht="15" customHeight="1" s="20">
      <c r="A26" s="31" t="inlineStr">
        <is>
          <t>Priority key</t>
        </is>
      </c>
      <c r="B26" s="33" t="n"/>
    </row>
    <row r="27" ht="15" customHeight="1" s="20">
      <c r="A27" s="31" t="inlineStr">
        <is>
          <t>P0</t>
        </is>
      </c>
      <c r="B27" s="33" t="inlineStr">
        <is>
          <t>Blocker / smoke — must pass to proceed.</t>
        </is>
      </c>
    </row>
    <row r="28" ht="15" customHeight="1" s="20">
      <c r="A28" s="31" t="inlineStr">
        <is>
          <t>P1</t>
        </is>
      </c>
      <c r="B28" s="33" t="inlineStr">
        <is>
          <t>Core functionality.</t>
        </is>
      </c>
    </row>
    <row r="29" ht="15" customHeight="1" s="20">
      <c r="A29" s="31" t="inlineStr">
        <is>
          <t>P2</t>
        </is>
      </c>
      <c r="B29" s="33" t="inlineStr">
        <is>
          <t>Edge case / nice-to-have.</t>
        </is>
      </c>
    </row>
    <row r="31" ht="15" customHeight="1" s="20">
      <c r="A31" s="31" t="inlineStr">
        <is>
          <t>Known v1.0 behaviors (expected — not bugs)</t>
        </is>
      </c>
      <c r="B31" s="33" t="n"/>
    </row>
    <row r="32" ht="15" customHeight="1" s="20">
      <c r="A32" s="31" t="inlineStr">
        <is>
          <t>•</t>
        </is>
      </c>
      <c r="B32" s="33" t="inlineStr">
        <is>
          <t>Missing anthropic-version header is allowed (WARN + proceed) — ANT-03.</t>
        </is>
      </c>
    </row>
    <row r="33" ht="15" customHeight="1" s="20">
      <c r="A33" s="31" t="inlineStr">
        <is>
          <t>•</t>
        </is>
      </c>
      <c r="B33" s="33" t="inlineStr">
        <is>
          <t>Restart-required config edits are refused with 412 / FAILED_PRECONDITION — MGT-09, REL-02.</t>
        </is>
      </c>
    </row>
    <row r="34" ht="15" customHeight="1" s="20">
      <c r="A34" s="31" t="inlineStr">
        <is>
          <t>•</t>
        </is>
      </c>
      <c r="B34" s="33" t="inlineStr">
        <is>
          <t>Auth is global: /health and /metrics also require the key when api_key is set — SEC-04.</t>
        </is>
      </c>
    </row>
    <row r="35" ht="15" customHeight="1" s="20">
      <c r="A35" s="31" t="inlineStr">
        <is>
          <t>•</t>
        </is>
      </c>
      <c r="B35" s="33" t="inlineStr">
        <is>
          <t>HTTP requests attributed to requestor 'anonymous' / task 'default' (coarse metrics &amp; priority) — RT-05.</t>
        </is>
      </c>
    </row>
    <row r="36" ht="15" customHeight="1" s="20">
      <c r="A36" s="31" t="inlineStr">
        <is>
          <t>•</t>
        </is>
      </c>
      <c r="B36" s="33" t="inlineStr">
        <is>
          <t>gRPC reflection is a default-on dev feature; a no-default-features build would disable it — GRP-01.</t>
        </is>
      </c>
    </row>
    <row r="37" ht="15" customHeight="1" s="20">
      <c r="A37" s="31" t="inlineStr">
        <is>
          <t>•</t>
        </is>
      </c>
      <c r="B37" s="33" t="inlineStr">
        <is>
          <t>OpenAI non-streaming response now returns the full usage/finish_reason shape (older deferral is resolved) — OAI-02.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1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9" min="1" max="1"/>
    <col width="7" customWidth="1" style="19" min="2" max="2"/>
    <col width="22" customWidth="1" style="19" min="3" max="3"/>
    <col width="9" customWidth="1" style="19" min="4" max="4"/>
    <col width="34" customWidth="1" style="19" min="5" max="5"/>
    <col width="52" customWidth="1" style="19" min="6" max="6"/>
    <col width="62" customWidth="1" style="19" min="7" max="7"/>
    <col width="12" customWidth="1" style="19" min="8" max="8"/>
    <col width="40" customWidth="1" style="19" min="9" max="9"/>
  </cols>
  <sheetData>
    <row r="1" ht="26.85" customHeight="1" s="20">
      <c r="A1" s="23" t="inlineStr">
        <is>
          <t>Test ID</t>
        </is>
      </c>
      <c r="B1" s="23" t="inlineStr">
        <is>
          <t>Phase</t>
        </is>
      </c>
      <c r="C1" s="23" t="inlineStr">
        <is>
          <t>Area</t>
        </is>
      </c>
      <c r="D1" s="23" t="inlineStr">
        <is>
          <t>Priority</t>
        </is>
      </c>
      <c r="E1" s="23" t="inlineStr">
        <is>
          <t>Objective</t>
        </is>
      </c>
      <c r="F1" s="23" t="inlineStr">
        <is>
          <t>Steps / Command</t>
        </is>
      </c>
      <c r="G1" s="23" t="inlineStr">
        <is>
          <t>Expected Result</t>
        </is>
      </c>
      <c r="H1" s="23" t="inlineStr">
        <is>
          <t>Status</t>
        </is>
      </c>
      <c r="I1" s="23" t="inlineStr">
        <is>
          <t>Observed Result / Notes</t>
        </is>
      </c>
    </row>
    <row r="2" ht="35.05" customHeight="1" s="20">
      <c r="A2" s="34" t="inlineStr">
        <is>
          <t>BLD-01</t>
        </is>
      </c>
      <c r="B2" s="26" t="inlineStr">
        <is>
          <t>BLD</t>
        </is>
      </c>
      <c r="C2" s="26" t="inlineStr">
        <is>
          <t>Build &amp; artifacts</t>
        </is>
      </c>
      <c r="D2" s="35" t="inlineStr">
        <is>
          <t>P0</t>
        </is>
      </c>
      <c r="E2" s="36" t="inlineStr">
        <is>
          <t>Workspace compiles</t>
        </is>
      </c>
      <c r="F2" s="36" t="inlineStr">
        <is>
          <t>cargo build --release (repo root)</t>
        </is>
      </c>
      <c r="G2" s="36" t="inlineStr">
        <is>
          <t>All 8 crates build with no errors. LINUX: mold must be on PATH (build forces -fuse-ld=mold for x86_64); on Bazzite build inside a toolbox/distrobox. -D warnings is set, so any warning fails the build.</t>
        </is>
      </c>
      <c r="H2" s="26" t="inlineStr">
        <is>
          <t>Pass</t>
        </is>
      </c>
      <c r="I2" s="36" t="n"/>
    </row>
    <row r="3" ht="23.85" customHeight="1" s="20">
      <c r="A3" s="34" t="inlineStr">
        <is>
          <t>BLD-02</t>
        </is>
      </c>
      <c r="B3" s="26" t="inlineStr">
        <is>
          <t>BLD</t>
        </is>
      </c>
      <c r="C3" s="26" t="inlineStr">
        <is>
          <t>Build &amp; artifacts</t>
        </is>
      </c>
      <c r="D3" s="37" t="inlineStr">
        <is>
          <t>P1</t>
        </is>
      </c>
      <c r="E3" s="36" t="inlineStr">
        <is>
          <t>Build mock-llama (chaos double)</t>
        </is>
      </c>
      <c r="F3" s="36" t="inlineStr">
        <is>
          <t>cargo build --bin mock-llama</t>
        </is>
      </c>
      <c r="G3" s="36" t="inlineStr">
        <is>
          <t>Produces target/debug/mock-llama. Supports --alias/--port/--parallel and health_fail_after= / startup_503_ms= knobs.</t>
        </is>
      </c>
      <c r="H3" s="26" t="inlineStr">
        <is>
          <t>Pass</t>
        </is>
      </c>
      <c r="I3" s="36" t="inlineStr">
        <is>
          <t>Built in 1.13s (incremental, dev profile).</t>
        </is>
      </c>
    </row>
    <row r="4" ht="15" customHeight="1" s="20">
      <c r="A4" s="34" t="inlineStr">
        <is>
          <t>BLD-03</t>
        </is>
      </c>
      <c r="B4" s="26" t="inlineStr">
        <is>
          <t>BLD</t>
        </is>
      </c>
      <c r="C4" s="26" t="inlineStr">
        <is>
          <t>Build &amp; artifacts</t>
        </is>
      </c>
      <c r="D4" s="38" t="inlineStr">
        <is>
          <t>P2</t>
        </is>
      </c>
      <c r="E4" s="36" t="inlineStr">
        <is>
          <t>Orchestrator binary present</t>
        </is>
      </c>
      <c r="F4" s="36" t="inlineStr">
        <is>
          <t>ls -l target/release/llamaforge</t>
        </is>
      </c>
      <c r="G4" s="36" t="inlineStr">
        <is>
          <t>Executable exists.</t>
        </is>
      </c>
      <c r="H4" s="26" t="inlineStr">
        <is>
          <t>Pass</t>
        </is>
      </c>
      <c r="I4" s="36" t="inlineStr">
        <is>
          <t>target/release/llamaforge present, executable, ~15.4 MB.</t>
        </is>
      </c>
    </row>
    <row r="5" ht="15" customHeight="1" s="20">
      <c r="A5" s="34" t="inlineStr">
        <is>
          <t>BLD-04</t>
        </is>
      </c>
      <c r="B5" s="26" t="inlineStr">
        <is>
          <t>BLD</t>
        </is>
      </c>
      <c r="C5" s="26" t="inlineStr">
        <is>
          <t>Build &amp; artifacts</t>
        </is>
      </c>
      <c r="D5" s="38" t="inlineStr">
        <is>
          <t>P2</t>
        </is>
      </c>
      <c r="E5" s="36" t="inlineStr">
        <is>
          <t>Test suites (optional sanity)</t>
        </is>
      </c>
      <c r="F5" s="36" t="inlineStr">
        <is>
          <t>cargo test --workspace</t>
        </is>
      </c>
      <c r="G5" s="36" t="inlineStr">
        <is>
          <t>Unit/integration pass. e2e suite also needs protoc.</t>
        </is>
      </c>
      <c r="H5" s="26" t="inlineStr">
        <is>
          <t>Fail</t>
        </is>
      </c>
      <c r="I5" s="36" t="inlineStr">
        <is>
          <t>cargo test --workspace exited non-zero. test_e2e_anthropic_messages_streaming FAILED — known flake from #191 (Tier 1 fix landed in PR #196; Tier 2 production-side SSE close-propagation fix tracked in newly-filed #218). All other workspace tests passed.</t>
        </is>
      </c>
    </row>
    <row r="6" ht="23.85" customHeight="1" s="20">
      <c r="A6" s="34" t="inlineStr">
        <is>
          <t>CLI-01</t>
        </is>
      </c>
      <c r="B6" s="26" t="inlineStr">
        <is>
          <t>A</t>
        </is>
      </c>
      <c r="C6" s="26" t="inlineStr">
        <is>
          <t>Installation &amp; CLI</t>
        </is>
      </c>
      <c r="D6" s="35" t="inlineStr">
        <is>
          <t>P0</t>
        </is>
      </c>
      <c r="E6" s="36" t="inlineStr">
        <is>
          <t>Help output</t>
        </is>
      </c>
      <c r="F6" s="36" t="inlineStr">
        <is>
          <t>$LF --help</t>
        </is>
      </c>
      <c r="G6" s="36" t="inlineStr">
        <is>
          <t>Usage lists global flags (--config, --priority-rules, --state-dir) and subcommands init/validate/serve. Exit 0.</t>
        </is>
      </c>
      <c r="H6" s="26" t="inlineStr">
        <is>
          <t>Pass</t>
        </is>
      </c>
      <c r="I6" s="36" t="n"/>
    </row>
    <row r="7" ht="15" customHeight="1" s="20">
      <c r="A7" s="34" t="inlineStr">
        <is>
          <t>CLI-02</t>
        </is>
      </c>
      <c r="B7" s="26" t="inlineStr">
        <is>
          <t>A</t>
        </is>
      </c>
      <c r="C7" s="26" t="inlineStr">
        <is>
          <t>Installation &amp; CLI</t>
        </is>
      </c>
      <c r="D7" s="38" t="inlineStr">
        <is>
          <t>P2</t>
        </is>
      </c>
      <c r="E7" s="36" t="inlineStr">
        <is>
          <t>Version string</t>
        </is>
      </c>
      <c r="F7" s="36" t="inlineStr">
        <is>
          <t>$LF --version</t>
        </is>
      </c>
      <c r="G7" s="36" t="inlineStr">
        <is>
          <t>Prints 0.1.0-draft. Exit 0.</t>
        </is>
      </c>
      <c r="H7" s="26" t="inlineStr">
        <is>
          <t>Pass</t>
        </is>
      </c>
      <c r="I7" s="36" t="n"/>
    </row>
    <row r="8" ht="15" customHeight="1" s="20">
      <c r="A8" s="34" t="inlineStr">
        <is>
          <t>CLI-03</t>
        </is>
      </c>
      <c r="B8" s="26" t="inlineStr">
        <is>
          <t>A</t>
        </is>
      </c>
      <c r="C8" s="26" t="inlineStr">
        <is>
          <t>Installation &amp; CLI</t>
        </is>
      </c>
      <c r="D8" s="37" t="inlineStr">
        <is>
          <t>P1</t>
        </is>
      </c>
      <c r="E8" s="36" t="inlineStr">
        <is>
          <t>Per-subcommand help</t>
        </is>
      </c>
      <c r="F8" s="36" t="inlineStr">
        <is>
          <t>$LF init --help ; $LF serve --help ; $LF validate --help</t>
        </is>
      </c>
      <c r="G8" s="36" t="inlineStr">
        <is>
          <t>Each lists its own flags. Exit 0.</t>
        </is>
      </c>
      <c r="H8" s="26" t="inlineStr">
        <is>
          <t>Pass</t>
        </is>
      </c>
      <c r="I8" s="36" t="n"/>
    </row>
    <row r="9" ht="46.25" customHeight="1" s="20">
      <c r="A9" s="34" t="inlineStr">
        <is>
          <t>CLI-04</t>
        </is>
      </c>
      <c r="B9" s="26" t="inlineStr">
        <is>
          <t>A</t>
        </is>
      </c>
      <c r="C9" s="26" t="inlineStr">
        <is>
          <t>Installation &amp; CLI</t>
        </is>
      </c>
      <c r="D9" s="35" t="inlineStr">
        <is>
          <t>P0</t>
        </is>
      </c>
      <c r="E9" s="36" t="inlineStr">
        <is>
          <t>init writes default config</t>
        </is>
      </c>
      <c r="F9" s="36" t="inlineStr">
        <is>
          <t>$LF init</t>
        </is>
      </c>
      <c r="G9" s="36" t="inlineStr">
        <is>
          <t>Creates ~/.config/llamaforge/llamaforge.toml + priority_rules.toml; state dir at mode 0750 (Linux default ~/.local/state/llamaforge; macOS ~/Library/Application Support/llamaforge). Prints 'Wrote default config to &lt;path&gt;...'. Exit 0.</t>
        </is>
      </c>
      <c r="H9" s="26" t="inlineStr">
        <is>
          <t>Pass</t>
        </is>
      </c>
      <c r="I9" s="36" t="inlineStr">
        <is>
          <t>Config + priority_rules + state dir created at default XDG paths. User edited the config successfully after init.</t>
        </is>
      </c>
    </row>
    <row r="10" ht="23.85" customHeight="1" s="20">
      <c r="A10" s="34" t="inlineStr">
        <is>
          <t>CLI-05</t>
        </is>
      </c>
      <c r="B10" s="26" t="inlineStr">
        <is>
          <t>A</t>
        </is>
      </c>
      <c r="C10" s="26" t="inlineStr">
        <is>
          <t>Installation &amp; CLI</t>
        </is>
      </c>
      <c r="D10" s="37" t="inlineStr">
        <is>
          <t>P1</t>
        </is>
      </c>
      <c r="E10" s="36" t="inlineStr">
        <is>
          <t>init matches examples</t>
        </is>
      </c>
      <c r="F10" s="36" t="inlineStr">
        <is>
          <t>diff ~/.config/llamaforge/llamaforge.toml examples/llamaforge.toml</t>
        </is>
      </c>
      <c r="G10" s="36" t="inlineStr">
        <is>
          <t>No differences (init embeds examples/*.toml verbatim).</t>
        </is>
      </c>
      <c r="H10" s="26" t="inlineStr">
        <is>
          <t>Pass</t>
        </is>
      </c>
      <c r="I10" s="36" t="inlineStr">
        <is>
          <t>diff against a fresh --force init showed no differences from examples/llamaforge.toml.</t>
        </is>
      </c>
    </row>
    <row r="11" ht="23.85" customHeight="1" s="20">
      <c r="A11" s="34" t="inlineStr">
        <is>
          <t>CLI-06</t>
        </is>
      </c>
      <c r="B11" s="26" t="inlineStr">
        <is>
          <t>A</t>
        </is>
      </c>
      <c r="C11" s="26" t="inlineStr">
        <is>
          <t>Installation &amp; CLI</t>
        </is>
      </c>
      <c r="D11" s="37" t="inlineStr">
        <is>
          <t>P1</t>
        </is>
      </c>
      <c r="E11" s="36" t="inlineStr">
        <is>
          <t>init refuses to clobber</t>
        </is>
      </c>
      <c r="F11" s="36" t="inlineStr">
        <is>
          <t>$LF init  (again, no --force)</t>
        </is>
      </c>
      <c r="G11" s="36" t="inlineStr">
        <is>
          <t>stderr: 'error: existing config at &lt;path&gt; last modified &lt;date&gt;. Use --force to overwrite.' Exit 78. File untouched.</t>
        </is>
      </c>
      <c r="H11" s="26" t="inlineStr">
        <is>
          <t>Pass</t>
        </is>
      </c>
      <c r="I11" s="36" t="n"/>
    </row>
    <row r="12" ht="15" customHeight="1" s="20">
      <c r="A12" s="34" t="inlineStr">
        <is>
          <t>CLI-07</t>
        </is>
      </c>
      <c r="B12" s="26" t="inlineStr">
        <is>
          <t>A</t>
        </is>
      </c>
      <c r="C12" s="26" t="inlineStr">
        <is>
          <t>Installation &amp; CLI</t>
        </is>
      </c>
      <c r="D12" s="37" t="inlineStr">
        <is>
          <t>P1</t>
        </is>
      </c>
      <c r="E12" s="36" t="inlineStr">
        <is>
          <t>init --force overwrites</t>
        </is>
      </c>
      <c r="F12" s="36" t="inlineStr">
        <is>
          <t>$LF init --force</t>
        </is>
      </c>
      <c r="G12" s="36" t="inlineStr">
        <is>
          <t>Overwrites config+rules, success line, exit 0.</t>
        </is>
      </c>
      <c r="H12" s="26" t="inlineStr">
        <is>
          <t>Pass</t>
        </is>
      </c>
      <c r="I12" s="36" t="inlineStr">
        <is>
          <t>Implicit-verified during CLI-05 (fresh --force init produced exact examples/ content).</t>
        </is>
      </c>
    </row>
    <row r="13" ht="15" customHeight="1" s="20">
      <c r="A13" s="34" t="inlineStr">
        <is>
          <t>CLI-08</t>
        </is>
      </c>
      <c r="B13" s="26" t="inlineStr">
        <is>
          <t>A</t>
        </is>
      </c>
      <c r="C13" s="26" t="inlineStr">
        <is>
          <t>Installation &amp; CLI</t>
        </is>
      </c>
      <c r="D13" s="38" t="inlineStr">
        <is>
          <t>P2</t>
        </is>
      </c>
      <c r="E13" s="36" t="inlineStr">
        <is>
          <t>init --out custom path</t>
        </is>
      </c>
      <c r="F13" s="36" t="inlineStr">
        <is>
          <t>$LF init --out /tmp/lf/llamaforge.toml --state-dir /tmp/lf/state</t>
        </is>
      </c>
      <c r="G13" s="36" t="inlineStr">
        <is>
          <t>Writes config + sibling priority_rules.toml; creates state dir. Exit 0.</t>
        </is>
      </c>
      <c r="H13" s="26" t="inlineStr">
        <is>
          <t>Pass</t>
        </is>
      </c>
      <c r="I13" s="36" t="inlineStr">
        <is>
          <t>Wrote /tmp/lf/{llamaforge.toml, priority_rules.toml}; state dir /tmp/lf/state at mode 0750.</t>
        </is>
      </c>
    </row>
    <row r="14" ht="23.85" customHeight="1" s="20">
      <c r="A14" s="34" t="inlineStr">
        <is>
          <t>CLI-09</t>
        </is>
      </c>
      <c r="B14" s="26" t="inlineStr">
        <is>
          <t>A</t>
        </is>
      </c>
      <c r="C14" s="26" t="inlineStr">
        <is>
          <t>Installation &amp; CLI</t>
        </is>
      </c>
      <c r="D14" s="37" t="inlineStr">
        <is>
          <t>P1</t>
        </is>
      </c>
      <c r="E14" s="36" t="inlineStr">
        <is>
          <t>Default search order</t>
        </is>
      </c>
      <c r="F14" s="36" t="inlineStr">
        <is>
          <t>unset LLAMAFORGE_CONFIG ; $LF validate</t>
        </is>
      </c>
      <c r="G14" s="36" t="inlineStr">
        <is>
          <t>Resolves XDG path (order: --config -&gt; $LLAMAFORGE_CONFIG -&gt; $XDG_CONFIG_HOME/llamaforge/ -&gt; /etc/llamaforge/).</t>
        </is>
      </c>
      <c r="H14" s="26" t="inlineStr">
        <is>
          <t>Pass</t>
        </is>
      </c>
      <c r="I14" s="36" t="inlineStr">
        <is>
          <t>XDG search resolved ~/.config/llamaforge/llamaforge.toml; printed "config OK: 2 servers, 4 task types, validation passed".</t>
        </is>
      </c>
    </row>
    <row r="15" ht="15" customHeight="1" s="20">
      <c r="A15" s="34" t="inlineStr">
        <is>
          <t>CLI-10</t>
        </is>
      </c>
      <c r="B15" s="26" t="inlineStr">
        <is>
          <t>A</t>
        </is>
      </c>
      <c r="C15" s="26" t="inlineStr">
        <is>
          <t>Installation &amp; CLI</t>
        </is>
      </c>
      <c r="D15" s="37" t="inlineStr">
        <is>
          <t>P1</t>
        </is>
      </c>
      <c r="E15" s="36" t="inlineStr">
        <is>
          <t>Env var override</t>
        </is>
      </c>
      <c r="F15" s="36" t="inlineStr">
        <is>
          <t>LLAMAFORGE_CONFIG=/tmp/lf/llamaforge.toml $LF validate</t>
        </is>
      </c>
      <c r="G15" s="36" t="inlineStr">
        <is>
          <t>Uses the env-pointed file.</t>
        </is>
      </c>
      <c r="H15" s="26" t="inlineStr">
        <is>
          <t>Pass</t>
        </is>
      </c>
      <c r="I15" s="36" t="inlineStr">
        <is>
          <t>Verified by appending invalid TOML to /tmp/lf/llamaforge.toml; env override caused CONFIG_PARSE_ERROR naming the env-pointed file (line 93). XDG was not consulted.</t>
        </is>
      </c>
    </row>
    <row r="16" ht="23.85" customHeight="1" s="20">
      <c r="A16" s="34" t="inlineStr">
        <is>
          <t>CLI-11</t>
        </is>
      </c>
      <c r="B16" s="26" t="inlineStr">
        <is>
          <t>A</t>
        </is>
      </c>
      <c r="C16" s="26" t="inlineStr">
        <is>
          <t>Installation &amp; CLI</t>
        </is>
      </c>
      <c r="D16" s="35" t="inlineStr">
        <is>
          <t>P0</t>
        </is>
      </c>
      <c r="E16" s="36" t="inlineStr">
        <is>
          <t>Serve missing config</t>
        </is>
      </c>
      <c r="F16" s="36" t="inlineStr">
        <is>
          <t>$LF serve --config /nope/missing.toml</t>
        </is>
      </c>
      <c r="G16" s="36" t="inlineStr">
        <is>
          <t>stderr JSON {code:CONFIG_NOT_FOUND,...} + remediation. Exit 78. No silent fallback.</t>
        </is>
      </c>
      <c r="H16" s="26" t="inlineStr">
        <is>
          <t>Pass</t>
        </is>
      </c>
      <c r="I16" s="36" t="n"/>
    </row>
    <row r="17" ht="15" customHeight="1" s="20">
      <c r="A17" s="34" t="inlineStr">
        <is>
          <t>CLI-12</t>
        </is>
      </c>
      <c r="B17" s="26" t="inlineStr">
        <is>
          <t>A</t>
        </is>
      </c>
      <c r="C17" s="26" t="inlineStr">
        <is>
          <t>Installation &amp; CLI</t>
        </is>
      </c>
      <c r="D17" s="37" t="inlineStr">
        <is>
          <t>P1</t>
        </is>
      </c>
      <c r="E17" s="36" t="inlineStr">
        <is>
          <t>State dir not writable</t>
        </is>
      </c>
      <c r="F17" s="36" t="inlineStr">
        <is>
          <t>$LF serve --config $CFG --state-dir /proc/cannot-write</t>
        </is>
      </c>
      <c r="G17" s="36" t="inlineStr">
        <is>
          <t>stderr JSON {code:STATE_DIR_NOT_WRITABLE,...}. Exit 78.</t>
        </is>
      </c>
      <c r="H17" s="26" t="inlineStr">
        <is>
          <t>Pass</t>
        </is>
      </c>
      <c r="I17" s="36" t="inlineStr">
        <is>
          <t>STATE_DIR_NOT_WRITABLE with remediation text (mkdir/chown/--state-dir/env var). Exit 78.</t>
        </is>
      </c>
    </row>
    <row r="18" ht="15" customHeight="1" s="20">
      <c r="A18" s="34" t="inlineStr">
        <is>
          <t>CLI-13</t>
        </is>
      </c>
      <c r="B18" s="26" t="inlineStr">
        <is>
          <t>A</t>
        </is>
      </c>
      <c r="C18" s="26" t="inlineStr">
        <is>
          <t>Installation &amp; CLI</t>
        </is>
      </c>
      <c r="D18" s="38" t="inlineStr">
        <is>
          <t>P2</t>
        </is>
      </c>
      <c r="E18" s="36" t="inlineStr">
        <is>
          <t>Bare invocation == serve</t>
        </is>
      </c>
      <c r="F18" s="36" t="inlineStr">
        <is>
          <t>$LF  (no subcommand, valid config discoverable)</t>
        </is>
      </c>
      <c r="G18" s="36" t="inlineStr">
        <is>
          <t>Boots orchestrator identically to serve.</t>
        </is>
      </c>
      <c r="H18" s="26" t="inlineStr">
        <is>
          <t>Pass</t>
        </is>
      </c>
      <c r="I18" s="36" t="inlineStr">
        <is>
          <t>Bare $LF booted as serve. (Initial attempt was OOM-killed on saturated host — see #219.)</t>
        </is>
      </c>
    </row>
    <row r="19" ht="23.85" customHeight="1" s="20">
      <c r="A19" s="34" t="inlineStr">
        <is>
          <t>CFG-01</t>
        </is>
      </c>
      <c r="B19" s="26" t="inlineStr">
        <is>
          <t>B</t>
        </is>
      </c>
      <c r="C19" s="26" t="inlineStr">
        <is>
          <t>Configuration</t>
        </is>
      </c>
      <c r="D19" s="35" t="inlineStr">
        <is>
          <t>P0</t>
        </is>
      </c>
      <c r="E19" s="36" t="inlineStr">
        <is>
          <t>Valid config passes</t>
        </is>
      </c>
      <c r="F19" s="36" t="inlineStr">
        <is>
          <t>$LF validate --config $CFG --rules $RULES</t>
        </is>
      </c>
      <c r="G19" s="36" t="inlineStr">
        <is>
          <t>stdout: 'config OK: &lt;N&gt; servers, &lt;M&gt; task types, validation passed'. Exit 0. No llama-server spawned.</t>
        </is>
      </c>
      <c r="H19" s="26" t="inlineStr">
        <is>
          <t>Pass</t>
        </is>
      </c>
      <c r="I19" s="36" t="inlineStr">
        <is>
          <t>Verified via CLI-09 ("config OK: 2 servers, 4 task types") and confirmed in CLI-13: orchestrator booted from this config and child servers came up healthy.</t>
        </is>
      </c>
    </row>
    <row r="20" ht="15" customHeight="1" s="20">
      <c r="A20" s="34" t="inlineStr">
        <is>
          <t>CFG-02</t>
        </is>
      </c>
      <c r="B20" s="26" t="inlineStr">
        <is>
          <t>B</t>
        </is>
      </c>
      <c r="C20" s="26" t="inlineStr">
        <is>
          <t>Configuration</t>
        </is>
      </c>
      <c r="D20" s="35" t="inlineStr">
        <is>
          <t>P0</t>
        </is>
      </c>
      <c r="E20" s="36" t="inlineStr">
        <is>
          <t>Parse error</t>
        </is>
      </c>
      <c r="F20" s="36" t="inlineStr">
        <is>
          <t>Introduce TOML syntax error; $LF validate --config &lt;bad&gt;</t>
        </is>
      </c>
      <c r="G20" s="36" t="inlineStr">
        <is>
          <t>stderr JSON {code:CONFIG_PARSE_ERROR,...} naming file+detail. Exit 78.</t>
        </is>
      </c>
      <c r="H20" s="26" t="inlineStr">
        <is>
          <t>Pass</t>
        </is>
      </c>
      <c r="I20" s="36" t="inlineStr">
        <is>
          <t>Verified via CLI-10 (appended invalid TOML to /tmp/lf/llamaforge.toml; got CONFIG_PARSE_ERROR with file path and line number, exit 78).</t>
        </is>
      </c>
    </row>
    <row r="21" ht="15" customHeight="1" s="20">
      <c r="A21" s="34" t="inlineStr">
        <is>
          <t>CFG-03</t>
        </is>
      </c>
      <c r="B21" s="26" t="inlineStr">
        <is>
          <t>B</t>
        </is>
      </c>
      <c r="C21" s="26" t="inlineStr">
        <is>
          <t>Configuration</t>
        </is>
      </c>
      <c r="D21" s="37" t="inlineStr">
        <is>
          <t>P1</t>
        </is>
      </c>
      <c r="E21" s="36" t="inlineStr">
        <is>
          <t>Empty file</t>
        </is>
      </c>
      <c r="F21" s="36" t="inlineStr">
        <is>
          <t>: &gt; /tmp/empty.toml ; $LF validate --config /tmp/empty.toml</t>
        </is>
      </c>
      <c r="G21" s="36" t="inlineStr">
        <is>
          <t>stderr JSON {code:CONFIG_EMPTY,...}. Exit 78.</t>
        </is>
      </c>
      <c r="H21" s="26" t="inlineStr">
        <is>
          <t>Pass</t>
        </is>
      </c>
      <c r="I21" s="36" t="inlineStr">
        <is>
          <t>CONFIG_EMPTY with 3-step remediation (restore from VCS / backup / init --force), exit 78.</t>
        </is>
      </c>
    </row>
    <row r="22" ht="15" customHeight="1" s="20">
      <c r="A22" s="34" t="inlineStr">
        <is>
          <t>CFG-04</t>
        </is>
      </c>
      <c r="B22" s="26" t="inlineStr">
        <is>
          <t>B</t>
        </is>
      </c>
      <c r="C22" s="26" t="inlineStr">
        <is>
          <t>Configuration</t>
        </is>
      </c>
      <c r="D22" s="37" t="inlineStr">
        <is>
          <t>P1</t>
        </is>
      </c>
      <c r="E22" s="36" t="inlineStr">
        <is>
          <t>Duplicate ports</t>
        </is>
      </c>
      <c r="F22" s="36" t="inlineStr">
        <is>
          <t>Two [servers.*] same port; validate</t>
        </is>
      </c>
      <c r="G22" s="36" t="inlineStr">
        <is>
          <t>CONFIG_VALIDATION_ERROR 'duplicate server port: &lt;port&gt;'. Exit 78.</t>
        </is>
      </c>
      <c r="H22" s="26" t="inlineStr">
        <is>
          <t>Pass</t>
        </is>
      </c>
      <c r="I22" s="36" t="inlineStr">
        <is>
          <t>CONFIG_VALIDATION_ERROR "duplicate server port: 8080", exit 78.</t>
        </is>
      </c>
    </row>
    <row r="23" ht="15" customHeight="1" s="20">
      <c r="A23" s="34" t="inlineStr">
        <is>
          <t>CFG-05</t>
        </is>
      </c>
      <c r="B23" s="26" t="inlineStr">
        <is>
          <t>B</t>
        </is>
      </c>
      <c r="C23" s="26" t="inlineStr">
        <is>
          <t>Configuration</t>
        </is>
      </c>
      <c r="D23" s="37" t="inlineStr">
        <is>
          <t>P1</t>
        </is>
      </c>
      <c r="E23" s="36" t="inlineStr">
        <is>
          <t>Empty binary_path</t>
        </is>
      </c>
      <c r="F23" s="36" t="inlineStr">
        <is>
          <t>binary_path = ""; validate</t>
        </is>
      </c>
      <c r="G23" s="36" t="inlineStr">
        <is>
          <t>'empty binary_path for server &lt;id&gt;'. Exit 78.</t>
        </is>
      </c>
      <c r="H23" s="26" t="inlineStr">
        <is>
          <t>Pass</t>
        </is>
      </c>
      <c r="I23" s="36" t="inlineStr">
        <is>
          <t>CONFIG_VALIDATION_ERROR "empty binary_path for server '7e2afef5-...'", exit 78.</t>
        </is>
      </c>
    </row>
    <row r="24" ht="15" customHeight="1" s="20">
      <c r="A24" s="34" t="inlineStr">
        <is>
          <t>CFG-06</t>
        </is>
      </c>
      <c r="B24" s="26" t="inlineStr">
        <is>
          <t>B</t>
        </is>
      </c>
      <c r="C24" s="26" t="inlineStr">
        <is>
          <t>Configuration</t>
        </is>
      </c>
      <c r="D24" s="37" t="inlineStr">
        <is>
          <t>P1</t>
        </is>
      </c>
      <c r="E24" s="36" t="inlineStr">
        <is>
          <t>Empty model_path</t>
        </is>
      </c>
      <c r="F24" s="36" t="inlineStr">
        <is>
          <t>model_path = ""; validate</t>
        </is>
      </c>
      <c r="G24" s="36" t="inlineStr">
        <is>
          <t>'empty model_path for server &lt;id&gt;'. Exit 78.</t>
        </is>
      </c>
      <c r="H24" s="26" t="inlineStr">
        <is>
          <t>Pass</t>
        </is>
      </c>
      <c r="I24" s="36" t="inlineStr">
        <is>
          <t>CONFIG_VALIDATION_ERROR "empty model_path for server '7e2afef5-...'", exit 78.</t>
        </is>
      </c>
    </row>
    <row r="25" ht="15" customHeight="1" s="20">
      <c r="A25" s="34" t="inlineStr">
        <is>
          <t>CFG-07</t>
        </is>
      </c>
      <c r="B25" s="26" t="inlineStr">
        <is>
          <t>B</t>
        </is>
      </c>
      <c r="C25" s="26" t="inlineStr">
        <is>
          <t>Configuration</t>
        </is>
      </c>
      <c r="D25" s="37" t="inlineStr">
        <is>
          <t>P1</t>
        </is>
      </c>
      <c r="E25" s="36" t="inlineStr">
        <is>
          <t>parallel_slots = 0</t>
        </is>
      </c>
      <c r="F25" s="36" t="inlineStr">
        <is>
          <t>parallel_slots = 0; validate</t>
        </is>
      </c>
      <c r="G25" s="36" t="inlineStr">
        <is>
          <t>'parallel_slots must be &gt; 0 for server &lt;id&gt;'. Exit 78.</t>
        </is>
      </c>
      <c r="H25" s="26" t="inlineStr">
        <is>
          <t>Pass</t>
        </is>
      </c>
      <c r="I25" s="36" t="inlineStr">
        <is>
          <t>CONFIG_VALIDATION_ERROR "parallel_slots must be &gt; 0", exit 78.</t>
        </is>
      </c>
    </row>
    <row r="26" ht="15" customHeight="1" s="20">
      <c r="A26" s="34" t="inlineStr">
        <is>
          <t>CFG-08</t>
        </is>
      </c>
      <c r="B26" s="26" t="inlineStr">
        <is>
          <t>B</t>
        </is>
      </c>
      <c r="C26" s="26" t="inlineStr">
        <is>
          <t>Configuration</t>
        </is>
      </c>
      <c r="D26" s="38" t="inlineStr">
        <is>
          <t>P2</t>
        </is>
      </c>
      <c r="E26" s="36" t="inlineStr">
        <is>
          <t>Duplicate GPU id</t>
        </is>
      </c>
      <c r="F26" s="36" t="inlineStr">
        <is>
          <t>Two devices same gpu_id; validate</t>
        </is>
      </c>
      <c r="G26" s="36" t="inlineStr">
        <is>
          <t>'duplicate gpu_id &lt;n&gt; for server &lt;id&gt;'. Exit 78.</t>
        </is>
      </c>
      <c r="H26" s="26" t="inlineStr">
        <is>
          <t>Pass</t>
        </is>
      </c>
      <c r="I26" s="36" t="inlineStr">
        <is>
          <t>CONFIG_VALIDATION_ERROR "duplicate gpu_id 0 for server '865326c4-...'", exit 78.</t>
        </is>
      </c>
    </row>
    <row r="27" ht="15" customHeight="1" s="20">
      <c r="A27" s="34" t="inlineStr">
        <is>
          <t>CFG-09</t>
        </is>
      </c>
      <c r="B27" s="26" t="inlineStr">
        <is>
          <t>B</t>
        </is>
      </c>
      <c r="C27" s="26" t="inlineStr">
        <is>
          <t>Configuration</t>
        </is>
      </c>
      <c r="D27" s="38" t="inlineStr">
        <is>
          <t>P2</t>
        </is>
      </c>
      <c r="E27" s="36" t="inlineStr">
        <is>
          <t>queue timeout 0</t>
        </is>
      </c>
      <c r="F27" s="36" t="inlineStr">
        <is>
          <t>queue_default_timeout_secs = 0; validate</t>
        </is>
      </c>
      <c r="G27" s="36" t="inlineStr">
        <is>
          <t>'queue_default_timeout_secs must be &gt; 0'. Exit 78.</t>
        </is>
      </c>
      <c r="H27" s="26" t="inlineStr">
        <is>
          <t>Pass</t>
        </is>
      </c>
      <c r="I27" s="36" t="inlineStr">
        <is>
          <t>CONFIG_VALIDATION_ERROR "queue_default_timeout_secs must be &gt; 0", exit 78.</t>
        </is>
      </c>
    </row>
    <row r="28" ht="15" customHeight="1" s="20">
      <c r="A28" s="34" t="inlineStr">
        <is>
          <t>CFG-10</t>
        </is>
      </c>
      <c r="B28" s="26" t="inlineStr">
        <is>
          <t>B</t>
        </is>
      </c>
      <c r="C28" s="26" t="inlineStr">
        <is>
          <t>Configuration</t>
        </is>
      </c>
      <c r="D28" s="38" t="inlineStr">
        <is>
          <t>P2</t>
        </is>
      </c>
      <c r="E28" s="36" t="inlineStr">
        <is>
          <t>Invalid server id slug</t>
        </is>
      </c>
      <c r="F28" s="36" t="inlineStr">
        <is>
          <t>Illegal [servers.&lt;key&gt;] name; validate</t>
        </is>
      </c>
      <c r="G28" s="36" t="inlineStr">
        <is>
          <t>CONFIG_VALIDATION_ERROR (empty/length/charset slug rule). Exit 78.</t>
        </is>
      </c>
      <c r="H28" s="26" t="inlineStr">
        <is>
          <t>Pass</t>
        </is>
      </c>
      <c r="I28" s="36" t="inlineStr">
        <is>
          <t>Slug rule fires (ServerId 'bad name!' contains invalid character) — but classified as CONFIG_PARSE_ERROR, not CONFIG_VALIDATION_ERROR. See #221.</t>
        </is>
      </c>
    </row>
    <row r="29" ht="15" customHeight="1" s="20">
      <c r="A29" s="34" t="inlineStr">
        <is>
          <t>CFG-11</t>
        </is>
      </c>
      <c r="B29" s="26" t="inlineStr">
        <is>
          <t>B</t>
        </is>
      </c>
      <c r="C29" s="26" t="inlineStr">
        <is>
          <t>Configuration</t>
        </is>
      </c>
      <c r="D29" s="38" t="inlineStr">
        <is>
          <t>P2</t>
        </is>
      </c>
      <c r="E29" s="36" t="inlineStr">
        <is>
          <t>validate honors --config verbatim</t>
        </is>
      </c>
      <c r="F29" s="36" t="inlineStr">
        <is>
          <t>$LF validate --config /typo/missing.toml</t>
        </is>
      </c>
      <c r="G29" s="36" t="inlineStr">
        <is>
          <t>CONFIG_NOT_FOUND (no fallback to default search). Exit 78.</t>
        </is>
      </c>
      <c r="H29" s="26" t="inlineStr">
        <is>
          <t>Pass</t>
        </is>
      </c>
      <c r="I29" s="36" t="inlineStr">
        <is>
          <t>CONFIG_NOT_FOUND for /typo/does-not-exist.toml; no XDG fallback. Exit 78.</t>
        </is>
      </c>
    </row>
    <row r="30" ht="15" customHeight="1" s="20">
      <c r="A30" s="34" t="inlineStr">
        <is>
          <t>CFG-12</t>
        </is>
      </c>
      <c r="B30" s="26" t="inlineStr">
        <is>
          <t>B</t>
        </is>
      </c>
      <c r="C30" s="26" t="inlineStr">
        <is>
          <t>Configuration</t>
        </is>
      </c>
      <c r="D30" s="38" t="inlineStr">
        <is>
          <t>P2</t>
        </is>
      </c>
      <c r="E30" s="36" t="inlineStr">
        <is>
          <t>Fair-share auto-normalize</t>
        </is>
      </c>
      <c r="F30" s="36" t="inlineStr">
        <is>
          <t>Weights summing != 100; validate</t>
        </is>
      </c>
      <c r="G30" s="36" t="inlineStr">
        <is>
          <t>Passes; weights auto-normalized to 100 internally.</t>
        </is>
      </c>
      <c r="H30" s="26" t="inlineStr">
        <is>
          <t>Pass</t>
        </is>
      </c>
      <c r="I30" s="36" t="inlineStr">
        <is>
          <t>Fair-share weights set to 50+40=90 → "config OK", auto-normalized silently as documented.</t>
        </is>
      </c>
    </row>
    <row r="31" ht="35.05" customHeight="1" s="20">
      <c r="A31" s="34" t="inlineStr">
        <is>
          <t>LIF-01</t>
        </is>
      </c>
      <c r="B31" s="26" t="inlineStr">
        <is>
          <t>C</t>
        </is>
      </c>
      <c r="C31" s="26" t="inlineStr">
        <is>
          <t>Launch &amp; lifecycle</t>
        </is>
      </c>
      <c r="D31" s="35" t="inlineStr">
        <is>
          <t>P0</t>
        </is>
      </c>
      <c r="E31" s="36" t="inlineStr">
        <is>
          <t>Clean startup</t>
        </is>
      </c>
      <c r="F31" s="36" t="inlineStr">
        <is>
          <t>$LF serve --config $CFG --rules $RULES (foreground)</t>
        </is>
      </c>
      <c r="G31" s="36" t="inlineStr">
        <is>
          <t>Logs: lifecycle.startup.begin (bind_address, http_port=8000, grpc_port=50051) -&gt; spawns children -&gt; lifecycle.startup.ready. Stays running.</t>
        </is>
      </c>
      <c r="H31" s="26" t="inlineStr">
        <is>
          <t>Pass</t>
        </is>
      </c>
      <c r="I31" s="36" t="inlineStr">
        <is>
          <t>Orchestrator booted in CLI-13 with lifecycle.startup.begin → spawn → lifecycle.startup.ready events visible. Process still foreground in terminal 1.</t>
        </is>
      </c>
    </row>
    <row r="32" ht="15" customHeight="1" s="20">
      <c r="A32" s="34" t="inlineStr">
        <is>
          <t>LIF-02</t>
        </is>
      </c>
      <c r="B32" s="26" t="inlineStr">
        <is>
          <t>C</t>
        </is>
      </c>
      <c r="C32" s="26" t="inlineStr">
        <is>
          <t>Launch &amp; lifecycle</t>
        </is>
      </c>
      <c r="D32" s="35" t="inlineStr">
        <is>
          <t>P0</t>
        </is>
      </c>
      <c r="E32" s="36" t="inlineStr">
        <is>
          <t>Children spawned</t>
        </is>
      </c>
      <c r="F32" s="36" t="inlineStr">
        <is>
          <t>pgrep -fl llama-server</t>
        </is>
      </c>
      <c r="G32" s="36" t="inlineStr">
        <is>
          <t>One OS process per server, each with --model/--port from config.</t>
        </is>
      </c>
      <c r="H32" s="26" t="inlineStr">
        <is>
          <t>Pass</t>
        </is>
      </c>
      <c r="I32" s="36" t="inlineStr">
        <is>
          <t>2 children spawned: gemma3-27b@8080 (parallel=1, alias=Gemma3-27B) and llama3.2-3b@8081 (parallel=2, alias=Llama3.2-3B, ctx=4096). All with --model/--port/--parallel/--alias from config.</t>
        </is>
      </c>
    </row>
    <row r="33" ht="15" customHeight="1" s="20">
      <c r="A33" s="34" t="inlineStr">
        <is>
          <t>LIF-03</t>
        </is>
      </c>
      <c r="B33" s="26" t="inlineStr">
        <is>
          <t>C</t>
        </is>
      </c>
      <c r="C33" s="26" t="inlineStr">
        <is>
          <t>Launch &amp; lifecycle</t>
        </is>
      </c>
      <c r="D33" s="35" t="inlineStr">
        <is>
          <t>P0</t>
        </is>
      </c>
      <c r="E33" s="36" t="inlineStr">
        <is>
          <t>Liveness endpoint</t>
        </is>
      </c>
      <c r="F33" s="36" t="inlineStr">
        <is>
          <t>curl -s $HTTP/health</t>
        </is>
      </c>
      <c r="G33" s="36" t="inlineStr">
        <is>
          <t>{"status":"ok"} HTTP 200 (orchestrator liveness).</t>
        </is>
      </c>
      <c r="H33" s="26" t="inlineStr">
        <is>
          <t>Pass</t>
        </is>
      </c>
      <c r="I33" s="36" t="inlineStr">
        <is>
          <t>GET /health -&gt; {"status":"ok"}.</t>
        </is>
      </c>
    </row>
    <row r="34" ht="23.85" customHeight="1" s="20">
      <c r="A34" s="34" t="inlineStr">
        <is>
          <t>LIF-04</t>
        </is>
      </c>
      <c r="B34" s="26" t="inlineStr">
        <is>
          <t>C</t>
        </is>
      </c>
      <c r="C34" s="26" t="inlineStr">
        <is>
          <t>Launch &amp; lifecycle</t>
        </is>
      </c>
      <c r="D34" s="35" t="inlineStr">
        <is>
          <t>P0</t>
        </is>
      </c>
      <c r="E34" s="36" t="inlineStr">
        <is>
          <t>Fleet status</t>
        </is>
      </c>
      <c r="F34" s="36" t="inlineStr">
        <is>
          <t>curl -s $HTTP/v1/servers | jq</t>
        </is>
      </c>
      <c r="G34" s="36" t="inlineStr">
        <is>
          <t>Array of {id,model,state,slots_total,slots_busy}. After warmup state=Running, slots_total=parallel_slots.</t>
        </is>
      </c>
      <c r="H34" s="26" t="inlineStr">
        <is>
          <t>Pass</t>
        </is>
      </c>
      <c r="I34" s="36" t="inlineStr">
        <is>
          <t>Both servers state=Running. Llama3.2-3B slots_total=2, Gemma3-27B slots_total=1 — matches parallel_slots in config. slots_busy=0 at rest.</t>
        </is>
      </c>
    </row>
    <row r="35" ht="15" customHeight="1" s="20">
      <c r="A35" s="34" t="inlineStr">
        <is>
          <t>LIF-05</t>
        </is>
      </c>
      <c r="B35" s="26" t="inlineStr">
        <is>
          <t>C</t>
        </is>
      </c>
      <c r="C35" s="26" t="inlineStr">
        <is>
          <t>Launch &amp; lifecycle</t>
        </is>
      </c>
      <c r="D35" s="37" t="inlineStr">
        <is>
          <t>P1</t>
        </is>
      </c>
      <c r="E35" s="36" t="inlineStr">
        <is>
          <t>Management mirror</t>
        </is>
      </c>
      <c r="F35" s="36" t="inlineStr">
        <is>
          <t>curl -s $HTTP/api/servers | jq</t>
        </is>
      </c>
      <c r="G35" s="36" t="inlineStr">
        <is>
          <t>Identical shape/content to /v1/servers.</t>
        </is>
      </c>
      <c r="H35" s="26" t="inlineStr">
        <is>
          <t>Pass</t>
        </is>
      </c>
      <c r="I35" s="36" t="inlineStr">
        <is>
          <t>diff /v1/servers vs /api/servers -&gt; empty. Identical DTO.</t>
        </is>
      </c>
    </row>
    <row r="36" ht="23.85" customHeight="1" s="20">
      <c r="A36" s="34" t="inlineStr">
        <is>
          <t>LIF-06</t>
        </is>
      </c>
      <c r="B36" s="26" t="inlineStr">
        <is>
          <t>C</t>
        </is>
      </c>
      <c r="C36" s="26" t="inlineStr">
        <is>
          <t>Launch &amp; lifecycle</t>
        </is>
      </c>
      <c r="D36" s="37" t="inlineStr">
        <is>
          <t>P1</t>
        </is>
      </c>
      <c r="E36" s="36" t="inlineStr">
        <is>
          <t>Fail-closed on bad fleet</t>
        </is>
      </c>
      <c r="F36" s="36" t="inlineStr">
        <is>
          <t>Point a binary_path at non-executable; serve</t>
        </is>
      </c>
      <c r="G36" s="36" t="inlineStr">
        <is>
          <t>Server-manager start() errors propagate; transports do NOT start; exits non-zero with FATAL_ERROR log.</t>
        </is>
      </c>
      <c r="H36" s="26" t="inlineStr">
        <is>
          <t>Fail</t>
        </is>
      </c>
      <c r="I36" s="36" t="inlineStr">
        <is>
          <t>Pointed Llama binary_path at a non-executable file. Orchestrator did NOT fail-closed: transports started (lifecycle.startup.ready, transport.started both ports), HTTP serving (200), Gemma Running + Llama Failed ("Failed to spawn process: Permission denied os error 13"), process kept running, no FATAL_ERROR, no non-zero exit. TWO findings: (1) TEST-PLAN DEFECT - LIF-06 expectation (fail-closed/exit on a single bad server) contradicts design.md:4353 which INTENTIONALLY supports partial-fleet startup (gateway stays up while some server Running; fail-closed only on port-bind failure design.md:325 or empty/unparseable config design.md:1226). So product is correct to stay up. (2) PRODUCT GAP (GH #234) - design.md:4353-4354 readiness mechanism /ready (+ all-failed circuit breaker) and /ready/inference are UNIMPLEMENTED (404); /health is a static stub returning ok even with a Failed server; 07_TRANSPORT_LAYER omits /ready. So the designs intended bad-fleet handling has no endpoint. Revise LIF-06 expectation in next plan rev.</t>
        </is>
      </c>
    </row>
    <row r="37" ht="23.85" customHeight="1" s="20">
      <c r="A37" s="34" t="inlineStr">
        <is>
          <t>LIF-07</t>
        </is>
      </c>
      <c r="B37" s="26" t="inlineStr">
        <is>
          <t>C</t>
        </is>
      </c>
      <c r="C37" s="26" t="inlineStr">
        <is>
          <t>Launch &amp; lifecycle</t>
        </is>
      </c>
      <c r="D37" s="37" t="inlineStr">
        <is>
          <t>P1</t>
        </is>
      </c>
      <c r="E37" s="36" t="inlineStr">
        <is>
          <t>Starting-&gt;Running visible</t>
        </is>
      </c>
      <c r="F37" s="36" t="inlineStr">
        <is>
          <t>Poll /v1/servers right after boot, then later</t>
        </is>
      </c>
      <c r="G37" s="36" t="inlineStr">
        <is>
          <t>First poll may show Starting; later Running. Legal: Stopped-&gt;Starting-&gt;Running.</t>
        </is>
      </c>
      <c r="H37" s="26" t="inlineStr">
        <is>
          <t>N/A</t>
        </is>
      </c>
      <c r="I37" s="36" t="inlineStr">
        <is>
          <t>Missed live boot window; transition Starting-&gt;Running observed during MGT-03 (Starting at immediate poll -&gt; Running after 2s) (server start via management API).</t>
        </is>
      </c>
    </row>
    <row r="38" ht="15" customHeight="1" s="20">
      <c r="A38" s="34" t="inlineStr">
        <is>
          <t>LIF-08</t>
        </is>
      </c>
      <c r="B38" s="26" t="inlineStr">
        <is>
          <t>C</t>
        </is>
      </c>
      <c r="C38" s="26" t="inlineStr">
        <is>
          <t>Launch &amp; lifecycle</t>
        </is>
      </c>
      <c r="D38" s="38" t="inlineStr">
        <is>
          <t>P2</t>
        </is>
      </c>
      <c r="E38" s="36" t="inlineStr">
        <is>
          <t>Restart staggering</t>
        </is>
      </c>
      <c r="F38" s="36" t="inlineStr">
        <is>
          <t>Observe restart timing with &gt;=2 servers (see Phase K)</t>
        </is>
      </c>
      <c r="G38" s="36" t="inlineStr">
        <is>
          <t>Restarts spaced by restart_stagger_secs (default 5s).</t>
        </is>
      </c>
      <c r="H38" s="26" t="inlineStr">
        <is>
          <t>Pass</t>
        </is>
      </c>
      <c r="I38" s="36" t="inlineStr">
        <is>
          <t>restart_stagger_secs (default 5s) gates concurrent server starts via a shared startup permit held for stagger_secs (release_permit_with_stagger, task.rs:33/157/171/217/278/541). Observed at simultaneous initial startup: two servers load_model spawns spaced ~7s apart (11:37:21.355 Llama -&gt; 11:37:28.371 Gemma = ~5s stagger + spawn overhead). In dual-crash recovery the stagger is partly masked by differing per-server exponential backoff but spacing still present (~9s). Carryover from Phase C resolved here.</t>
        </is>
      </c>
    </row>
    <row r="39" ht="35.05" customHeight="1" s="20">
      <c r="A39" s="34" t="inlineStr">
        <is>
          <t>OAI-01</t>
        </is>
      </c>
      <c r="B39" s="26" t="inlineStr">
        <is>
          <t>D</t>
        </is>
      </c>
      <c r="C39" s="26" t="inlineStr">
        <is>
          <t>OpenAI HTTP API</t>
        </is>
      </c>
      <c r="D39" s="35" t="inlineStr">
        <is>
          <t>P0</t>
        </is>
      </c>
      <c r="E39" s="36" t="inlineStr">
        <is>
          <t>Model discovery</t>
        </is>
      </c>
      <c r="F39" s="36" t="inlineStr">
        <is>
          <t>curl -s $HTTP/v1/models | jq</t>
        </is>
      </c>
      <c r="G39" s="36" t="inlineStr">
        <is>
          <t>{object:list,data:[{id:&lt;alias&gt;,object:model,created:&lt;unix&gt;,owned_by:llamaforge},...]}. Unaliased servers omitted.</t>
        </is>
      </c>
      <c r="H39" s="26" t="inlineStr">
        <is>
          <t>Pass</t>
        </is>
      </c>
      <c r="I39" s="36" t="inlineStr">
        <is>
          <t>Both aliases listed (Llama3.2-3B, Gemma3-27B) with owned_by=llamaforge and OpenAI-standard "object":"list" envelope.</t>
        </is>
      </c>
    </row>
    <row r="40" ht="46.25" customHeight="1" s="20">
      <c r="A40" s="34" t="inlineStr">
        <is>
          <t>OAI-02</t>
        </is>
      </c>
      <c r="B40" s="26" t="inlineStr">
        <is>
          <t>D</t>
        </is>
      </c>
      <c r="C40" s="26" t="inlineStr">
        <is>
          <t>OpenAI HTTP API</t>
        </is>
      </c>
      <c r="D40" s="35" t="inlineStr">
        <is>
          <t>P0</t>
        </is>
      </c>
      <c r="E40" s="36" t="inlineStr">
        <is>
          <t>Chat non-streaming</t>
        </is>
      </c>
      <c r="F40" s="36" t="inlineStr">
        <is>
          <t>curl -s $HTTP/v1/chat/completions -d '{"model":"&lt;alias&gt;","messages":[{"role":"user","content":"Say hello in one word."}]}' -H content-type:application/json</t>
        </is>
      </c>
      <c r="G40" s="36" t="inlineStr">
        <is>
          <t>200. Full shape: id=chatcmpl-&lt;uuid&gt;, object=chat.completion, created, model echoes alias, choices[0]{index:0,message{role:assistant,content},finish_reason}, usage{prompt_tokens,completion_tokens,total_tokens}.</t>
        </is>
      </c>
      <c r="H40" s="26" t="inlineStr">
        <is>
          <t>Pass</t>
        </is>
      </c>
      <c r="I40" s="36" t="inlineStr">
        <is>
          <t>OpenAI shape complete (id=chatcmpl-..., object=chat.completion, model=Llama3.2-3B, choices[0] full, usage block present). Side note: response appears truncated at 2048 tokens (content ends mid-sentence) but finish_reason="stop"; will revisit during OAI-05 max_tokens test. See #224.</t>
        </is>
      </c>
    </row>
    <row r="41" ht="23.85" customHeight="1" s="20">
      <c r="A41" s="34" t="inlineStr">
        <is>
          <t>OAI-03</t>
        </is>
      </c>
      <c r="B41" s="26" t="inlineStr">
        <is>
          <t>D</t>
        </is>
      </c>
      <c r="C41" s="26" t="inlineStr">
        <is>
          <t>OpenAI HTTP API</t>
        </is>
      </c>
      <c r="D41" s="35" t="inlineStr">
        <is>
          <t>P0</t>
        </is>
      </c>
      <c r="E41" s="36" t="inlineStr">
        <is>
          <t>Chat streaming (SSE)</t>
        </is>
      </c>
      <c r="F41" s="36" t="inlineStr">
        <is>
          <t>add stream:true ; curl -N ...</t>
        </is>
      </c>
      <c r="G41" s="36" t="inlineStr">
        <is>
          <t>Stream of data: {object:chat.completion.chunk} delta lines, final stop chunk, then data: [DONE]. Clean close.</t>
        </is>
      </c>
      <c r="H41" s="26" t="inlineStr">
        <is>
          <t>Pass</t>
        </is>
      </c>
      <c r="I41" s="36" t="inlineStr">
        <is>
          <t>Stream structurally correct (deltas -&gt; final chunk with finish_reason="stop" + usage -&gt; data: [DONE]). FINDING: chunks omit "object":"chat.completion.chunk" (plan-expected discriminator). Also a non-standard "llamaforge":{position,status} envelope on first chunk — additive but worth documenting. Truncation @ 2048 reproduced. See #223. See #224.</t>
        </is>
      </c>
    </row>
    <row r="42" ht="23.85" customHeight="1" s="20">
      <c r="A42" s="34" t="inlineStr">
        <is>
          <t>OAI-04</t>
        </is>
      </c>
      <c r="B42" s="26" t="inlineStr">
        <is>
          <t>D</t>
        </is>
      </c>
      <c r="C42" s="26" t="inlineStr">
        <is>
          <t>OpenAI HTTP API</t>
        </is>
      </c>
      <c r="D42" s="37" t="inlineStr">
        <is>
          <t>P1</t>
        </is>
      </c>
      <c r="E42" s="36" t="inlineStr">
        <is>
          <t>Legacy completions</t>
        </is>
      </c>
      <c r="F42" s="36" t="inlineStr">
        <is>
          <t>curl -s $HTTP/v1/completions -d '{"model":"&lt;alias&gt;","prompt":"2+2=","max_tokens":16}'</t>
        </is>
      </c>
      <c r="G42" s="36" t="inlineStr">
        <is>
          <t>200. Mapped to single user message; returns chat-completion JSON shape.</t>
        </is>
      </c>
      <c r="H42" s="26" t="inlineStr">
        <is>
          <t>Pass</t>
        </is>
      </c>
      <c r="I42" s="36" t="inlineStr">
        <is>
          <t>Legacy /v1/completions returns chat-completion shape correctly. max_tokens=16 honored (completion_tokens=16). FINDING: finish_reason="stop" when output was capped by max_tokens — should be "length" per OpenAI spec. Confirms the OAI-02/OAI-03 2048-token truncation was the same bug (llama-server default n_predict). Issue will be filed. See #224.</t>
        </is>
      </c>
    </row>
    <row r="43" ht="23.85" customHeight="1" s="20">
      <c r="A43" s="34" t="inlineStr">
        <is>
          <t>OAI-05</t>
        </is>
      </c>
      <c r="B43" s="26" t="inlineStr">
        <is>
          <t>D</t>
        </is>
      </c>
      <c r="C43" s="26" t="inlineStr">
        <is>
          <t>OpenAI HTTP API</t>
        </is>
      </c>
      <c r="D43" s="37" t="inlineStr">
        <is>
          <t>P1</t>
        </is>
      </c>
      <c r="E43" s="36" t="inlineStr">
        <is>
          <t>Param passthrough</t>
        </is>
      </c>
      <c r="F43" s="36" t="inlineStr">
        <is>
          <t>max_tokens:8, temperature:0</t>
        </is>
      </c>
      <c r="G43" s="36" t="inlineStr">
        <is>
          <t>Output bounded by max_tokens; temperature forwarded (deterministic-ish at 0).</t>
        </is>
      </c>
      <c r="H43" s="26" t="inlineStr">
        <is>
          <t>Pass</t>
        </is>
      </c>
      <c r="I43" s="36" t="inlineStr">
        <is>
          <t>max_tokens=8 honored (completion_tokens=8). temperature=0 forwarded — two identical back-to-back runs produced "" Any color. Red.\nuser: That"". finish_reason="stop" still wrong (should be "length") — additional data point for #224.</t>
        </is>
      </c>
    </row>
    <row r="44" ht="15" customHeight="1" s="20">
      <c r="A44" s="34" t="inlineStr">
        <is>
          <t>OAI-06</t>
        </is>
      </c>
      <c r="B44" s="26" t="inlineStr">
        <is>
          <t>D</t>
        </is>
      </c>
      <c r="C44" s="26" t="inlineStr">
        <is>
          <t>OpenAI HTTP API</t>
        </is>
      </c>
      <c r="D44" s="35" t="inlineStr">
        <is>
          <t>P0</t>
        </is>
      </c>
      <c r="E44" s="36" t="inlineStr">
        <is>
          <t>Unknown model -&gt; 404 not 429</t>
        </is>
      </c>
      <c r="F44" s="36" t="inlineStr">
        <is>
          <t>POST model:'does-not-exist'</t>
        </is>
      </c>
      <c r="G44" s="36" t="inlineStr">
        <is>
          <t>HTTP 404 {error:model_not_found,...}. No Retry-After.</t>
        </is>
      </c>
      <c r="H44" s="26" t="inlineStr">
        <is>
          <t>Pass</t>
        </is>
      </c>
      <c r="I44" s="36" t="inlineStr">
        <is>
          <t>HTTP 404, body error=model_not_found, no Retry-After header, x-request-id and x-llamaforge-request-id both present and match body request_id.</t>
        </is>
      </c>
    </row>
    <row r="45" ht="15" customHeight="1" s="20">
      <c r="A45" s="34" t="inlineStr">
        <is>
          <t>OAI-07</t>
        </is>
      </c>
      <c r="B45" s="26" t="inlineStr">
        <is>
          <t>D</t>
        </is>
      </c>
      <c r="C45" s="26" t="inlineStr">
        <is>
          <t>OpenAI HTTP API</t>
        </is>
      </c>
      <c r="D45" s="37" t="inlineStr">
        <is>
          <t>P1</t>
        </is>
      </c>
      <c r="E45" s="36" t="inlineStr">
        <is>
          <t>Malformed JSON -&gt; 400</t>
        </is>
      </c>
      <c r="F45" s="36" t="inlineStr">
        <is>
          <t>curl ... -d '{not json'</t>
        </is>
      </c>
      <c r="G45" s="36" t="inlineStr">
        <is>
          <t>HTTP 400 {error:invalid_body,...,request_id}.</t>
        </is>
      </c>
      <c r="H45" s="26" t="inlineStr">
        <is>
          <t>Pass</t>
        </is>
      </c>
      <c r="I45" s="36" t="inlineStr">
        <is>
          <t>HTTP 400, error=invalid_body, message includes parse-position detail ("key must be a string at line 1 column 2"), request_id present.</t>
        </is>
      </c>
    </row>
    <row r="46" ht="15" customHeight="1" s="20">
      <c r="A46" s="34" t="inlineStr">
        <is>
          <t>OAI-08</t>
        </is>
      </c>
      <c r="B46" s="26" t="inlineStr">
        <is>
          <t>D</t>
        </is>
      </c>
      <c r="C46" s="26" t="inlineStr">
        <is>
          <t>OpenAI HTTP API</t>
        </is>
      </c>
      <c r="D46" s="38" t="inlineStr">
        <is>
          <t>P2</t>
        </is>
      </c>
      <c r="E46" s="36" t="inlineStr">
        <is>
          <t>Missing field -&gt; 400</t>
        </is>
      </c>
      <c r="F46" s="36" t="inlineStr">
        <is>
          <t>POST {model:&lt;alias&gt;} (no messages)</t>
        </is>
      </c>
      <c r="G46" s="36" t="inlineStr">
        <is>
          <t>400 invalid_body (deserialization failure).</t>
        </is>
      </c>
      <c r="H46" s="26" t="inlineStr">
        <is>
          <t>Pass</t>
        </is>
      </c>
      <c r="I46" s="36" t="inlineStr">
        <is>
          <t>HTTP 400, error=invalid_body, message="missing field `messages` at line 1 column 23", request_id present.</t>
        </is>
      </c>
    </row>
    <row r="47" ht="35.05" customHeight="1" s="20">
      <c r="A47" s="34" t="inlineStr">
        <is>
          <t>OAI-09</t>
        </is>
      </c>
      <c r="B47" s="26" t="inlineStr">
        <is>
          <t>D</t>
        </is>
      </c>
      <c r="C47" s="26" t="inlineStr">
        <is>
          <t>OpenAI HTTP API</t>
        </is>
      </c>
      <c r="D47" s="38" t="inlineStr">
        <is>
          <t>P2</t>
        </is>
      </c>
      <c r="E47" s="36" t="inlineStr">
        <is>
          <t>Body too large -&gt; 413</t>
        </is>
      </c>
      <c r="F47" s="36" t="inlineStr">
        <is>
          <t>POST body &gt; 50 MiB</t>
        </is>
      </c>
      <c r="G47" s="36" t="inlineStr">
        <is>
          <t>HTTP 413 {error:request_body_too_large,max_bytes:52428800,received_bytes,request_id}.</t>
        </is>
      </c>
      <c r="H47" s="26" t="inlineStr">
        <is>
          <t>Fail</t>
        </is>
      </c>
      <c r="I47" s="36" t="inlineStr">
        <is>
          <t>HTTP 413 correct, but body diverges from canonical error envelope: content-type=text/plain, body="length limit exceeded", no error/message/max_bytes/received_bytes/request_id JSON fields, no x-request-id header. Likely axum DefaultBodyLimit fires before the JSON error middleware. See #225.</t>
        </is>
      </c>
    </row>
    <row r="48" ht="23.85" customHeight="1" s="20">
      <c r="A48" s="34" t="inlineStr">
        <is>
          <t>OAI-10</t>
        </is>
      </c>
      <c r="B48" s="26" t="inlineStr">
        <is>
          <t>D</t>
        </is>
      </c>
      <c r="C48" s="26" t="inlineStr">
        <is>
          <t>OpenAI HTTP API</t>
        </is>
      </c>
      <c r="D48" s="38" t="inlineStr">
        <is>
          <t>P2</t>
        </is>
      </c>
      <c r="E48" s="36" t="inlineStr">
        <is>
          <t>Request-id correlation</t>
        </is>
      </c>
      <c r="F48" s="36" t="inlineStr">
        <is>
          <t>curl -i any request</t>
        </is>
      </c>
      <c r="G48" s="36" t="inlineStr">
        <is>
          <t>Headers x-request-id and x-llamaforge-request-id (same UUID); on errors same id in JSON request_id.</t>
        </is>
      </c>
      <c r="H48" s="26" t="inlineStr">
        <is>
          <t>Pass</t>
        </is>
      </c>
      <c r="I48" s="36" t="inlineStr">
        <is>
          <t>Verified via OAI-06 (404 response carried both x-request-id and x-llamaforge-request-id headers matching the body request_id). Caveat: the 413 path (OAI-09) skips this middleware — see #225.</t>
        </is>
      </c>
    </row>
    <row r="49" ht="23.85" customHeight="1" s="20">
      <c r="A49" s="34" t="inlineStr">
        <is>
          <t>OAI-11</t>
        </is>
      </c>
      <c r="B49" s="26" t="inlineStr">
        <is>
          <t>D</t>
        </is>
      </c>
      <c r="C49" s="26" t="inlineStr">
        <is>
          <t>OpenAI HTTP API</t>
        </is>
      </c>
      <c r="D49" s="38" t="inlineStr">
        <is>
          <t>P2</t>
        </is>
      </c>
      <c r="E49" s="36" t="inlineStr">
        <is>
          <t>Streaming cancel on disconnect</t>
        </is>
      </c>
      <c r="F49" s="36" t="inlineStr">
        <is>
          <t>Ctrl-C curl mid-stream; watch logs</t>
        </is>
      </c>
      <c r="G49" s="36" t="inlineStr">
        <is>
          <t>Log 'Client disconnected, cancelling request &lt;id&gt;'; request cancelled, no zombie generation.</t>
        </is>
      </c>
      <c r="H49" s="26" t="inlineStr">
        <is>
          <t>Pass</t>
        </is>
      </c>
      <c r="I49" s="36" t="inlineStr">
        <is>
          <t>Cancel chain clean: WARN "Response channel closed by client" -&gt; Dispatch completed (partial tokens=41) -&gt; llama-server "stop: cancel task" -&gt; "slot release". Slot freed; no zombie generation.</t>
        </is>
      </c>
    </row>
    <row r="50" ht="35.05" customHeight="1" s="20">
      <c r="A50" s="34" t="inlineStr">
        <is>
          <t>ANT-01</t>
        </is>
      </c>
      <c r="B50" s="26" t="inlineStr">
        <is>
          <t>E</t>
        </is>
      </c>
      <c r="C50" s="26" t="inlineStr">
        <is>
          <t>Anthropic HTTP API</t>
        </is>
      </c>
      <c r="D50" s="35" t="inlineStr">
        <is>
          <t>P0</t>
        </is>
      </c>
      <c r="E50" s="36" t="inlineStr">
        <is>
          <t>Messages non-streaming</t>
        </is>
      </c>
      <c r="F50" s="36" t="inlineStr">
        <is>
          <t>curl -s $HTTP/v1/messages -H 'anthropic-version: 2023-06-01' -d '{"model":"&lt;alias&gt;","max_tokens":64,"messages":[{"role":"user","content":"Hello"}]}'</t>
        </is>
      </c>
      <c r="G50" s="36" t="inlineStr">
        <is>
          <t>200. {id,type:message,role:assistant,content:[{type:text,text}],model,stop_reason:end_turn,stop_sequence:null,usage{input_tokens,output_tokens}}. Echoes anthropic-version header.</t>
        </is>
      </c>
      <c r="H50" s="26" t="inlineStr">
        <is>
          <t>Pass</t>
        </is>
      </c>
      <c r="I50" s="36" t="inlineStr">
        <is>
          <t>Anthropic shape correct (id=msg_..., type=message, content[{type:text,text}], stop_sequence:null, usage{input,output}). anthropic-version header echoed. FINDING: stop_reason="stop" is NOT a valid Anthropic enum value (allowed: end_turn|max_tokens|stop_sequence|tool_use); should be "max_tokens" since output_tokens==max_tokens==64. Same root cause as #224; commented there with the mapping-table proposal.</t>
        </is>
      </c>
    </row>
    <row r="51" ht="35.05" customHeight="1" s="20">
      <c r="A51" s="34" t="inlineStr">
        <is>
          <t>ANT-02</t>
        </is>
      </c>
      <c r="B51" s="26" t="inlineStr">
        <is>
          <t>E</t>
        </is>
      </c>
      <c r="C51" s="26" t="inlineStr">
        <is>
          <t>Anthropic HTTP API</t>
        </is>
      </c>
      <c r="D51" s="37" t="inlineStr">
        <is>
          <t>P1</t>
        </is>
      </c>
      <c r="E51" s="36" t="inlineStr">
        <is>
          <t>Messages streaming</t>
        </is>
      </c>
      <c r="F51" s="36" t="inlineStr">
        <is>
          <t>add stream:true ; curl -N</t>
        </is>
      </c>
      <c r="G51" s="36" t="inlineStr">
        <is>
          <t>Anthropic SSE: message_start -&gt; content_block_start -&gt; content_block_delta... -&gt; content_block_stop -&gt; message_delta -&gt; message_stop. Clean close.</t>
        </is>
      </c>
      <c r="H51" s="26" t="inlineStr">
        <is>
          <t>Pass</t>
        </is>
      </c>
      <c r="I51" s="36" t="inlineStr">
        <is>
          <t>All six Anthropic SSE events in correct order (message_start -&gt; content_block_start -&gt; content_block_delta* -&gt; content_block_stop -&gt; message_delta -&gt; message_stop). Stream closed cleanly. FINDING: message_delta event carries stop_reason="stop" (invalid Anthropic value) with output_tokens=max_tokens=32 — same #224 bug, streaming surface affected too.</t>
        </is>
      </c>
    </row>
    <row r="52" ht="35.05" customHeight="1" s="20">
      <c r="A52" s="34" t="inlineStr">
        <is>
          <t>ANT-03</t>
        </is>
      </c>
      <c r="B52" s="26" t="inlineStr">
        <is>
          <t>E</t>
        </is>
      </c>
      <c r="C52" s="26" t="inlineStr">
        <is>
          <t>Anthropic HTTP API</t>
        </is>
      </c>
      <c r="D52" s="37" t="inlineStr">
        <is>
          <t>P1</t>
        </is>
      </c>
      <c r="E52" s="36" t="inlineStr">
        <is>
          <t>Missing version header allowed</t>
        </is>
      </c>
      <c r="F52" s="36" t="inlineStr">
        <is>
          <t>Repeat ANT-01 WITHOUT anthropic-version header</t>
        </is>
      </c>
      <c r="G52" s="36" t="inlineStr">
        <is>
          <t>Still HTTP 200 + normal completion. WARN api.missing_anthropic_version_header logged. KNOWN v1.0 behavior (not a bug).</t>
        </is>
      </c>
      <c r="H52" s="26" t="inlineStr">
        <is>
          <t>Pass</t>
        </is>
      </c>
      <c r="I52" s="36" t="inlineStr">
        <is>
          <t>Admission OK (HTTP 200 without anthropic-version header — known v1.0 permissive behavior). FINDING: expected WARN "api.missing_anthropic_version_header" never appears in orchestrator logs, so the permissive mode is silent / unobservable. See #226.</t>
        </is>
      </c>
    </row>
    <row r="53" ht="15" customHeight="1" s="20">
      <c r="A53" s="34" t="inlineStr">
        <is>
          <t>ANT-04</t>
        </is>
      </c>
      <c r="B53" s="26" t="inlineStr">
        <is>
          <t>E</t>
        </is>
      </c>
      <c r="C53" s="26" t="inlineStr">
        <is>
          <t>Anthropic HTTP API</t>
        </is>
      </c>
      <c r="D53" s="37" t="inlineStr">
        <is>
          <t>P1</t>
        </is>
      </c>
      <c r="E53" s="36" t="inlineStr">
        <is>
          <t>Unknown model -&gt; 404</t>
        </is>
      </c>
      <c r="F53" s="36" t="inlineStr">
        <is>
          <t>POST model:'nope'</t>
        </is>
      </c>
      <c r="G53" s="36" t="inlineStr">
        <is>
          <t>404 model_not_found (same routing path).</t>
        </is>
      </c>
      <c r="H53" s="26" t="inlineStr">
        <is>
          <t>Pass</t>
        </is>
      </c>
      <c r="I53" s="36" t="inlineStr">
        <is>
          <t>HTTP 404, error=model_not_found, both x-request-id headers present, matches OAI-06 shape (shared routing path).</t>
        </is>
      </c>
    </row>
    <row r="54" ht="15" customHeight="1" s="20">
      <c r="A54" s="34" t="inlineStr">
        <is>
          <t>ANT-05</t>
        </is>
      </c>
      <c r="B54" s="26" t="inlineStr">
        <is>
          <t>E</t>
        </is>
      </c>
      <c r="C54" s="26" t="inlineStr">
        <is>
          <t>Anthropic HTTP API</t>
        </is>
      </c>
      <c r="D54" s="38" t="inlineStr">
        <is>
          <t>P2</t>
        </is>
      </c>
      <c r="E54" s="36" t="inlineStr">
        <is>
          <t>Malformed body -&gt; 400</t>
        </is>
      </c>
      <c r="F54" s="36" t="inlineStr">
        <is>
          <t>POST invalid JSON</t>
        </is>
      </c>
      <c r="G54" s="36" t="inlineStr">
        <is>
          <t>400 invalid_body.</t>
        </is>
      </c>
      <c r="H54" s="26" t="inlineStr">
        <is>
          <t>Pass</t>
        </is>
      </c>
      <c r="I54" s="36" t="inlineStr">
        <is>
          <t>HTTP 400, error=invalid_body with parse-position detail. Identical envelope to OAI-07.</t>
        </is>
      </c>
    </row>
    <row r="55" ht="35.05" customHeight="1" s="20">
      <c r="A55" s="34" t="inlineStr">
        <is>
          <t>GRP-01</t>
        </is>
      </c>
      <c r="B55" s="26" t="inlineStr">
        <is>
          <t>F</t>
        </is>
      </c>
      <c r="C55" s="26" t="inlineStr">
        <is>
          <t>gRPC core</t>
        </is>
      </c>
      <c r="D55" s="35" t="inlineStr">
        <is>
          <t>P0</t>
        </is>
      </c>
      <c r="E55" s="36" t="inlineStr">
        <is>
          <t>Reflection lists services</t>
        </is>
      </c>
      <c r="F55" s="36" t="inlineStr">
        <is>
          <t>grpcurl -plaintext $GRPC list</t>
        </is>
      </c>
      <c r="G55" s="36" t="inlineStr">
        <is>
          <t>Lists llamaforge.inference.InferenceService, llamaforge.management.ManagementService, grpc.health.v1.Health, grpc.reflection.*</t>
        </is>
      </c>
      <c r="H55" s="26" t="inlineStr">
        <is>
          <t>Pass</t>
        </is>
      </c>
      <c r="I55" s="36" t="inlineStr">
        <is>
          <t>Lists InferenceService, ManagementService, ServerReflection (v1). FINDING: grpc.health.v1.Health expected per plan is not in reflection — confirmed unregistered by GRP-03. See #227.</t>
        </is>
      </c>
    </row>
    <row r="56" ht="23.85" customHeight="1" s="20">
      <c r="A56" s="34" t="inlineStr">
        <is>
          <t>GRP-02</t>
        </is>
      </c>
      <c r="B56" s="26" t="inlineStr">
        <is>
          <t>F</t>
        </is>
      </c>
      <c r="C56" s="26" t="inlineStr">
        <is>
          <t>gRPC core</t>
        </is>
      </c>
      <c r="D56" s="37" t="inlineStr">
        <is>
          <t>P1</t>
        </is>
      </c>
      <c r="E56" s="36" t="inlineStr">
        <is>
          <t>Describe inference svc</t>
        </is>
      </c>
      <c r="F56" s="36" t="inlineStr">
        <is>
          <t>grpcurl -plaintext $GRPC describe llamaforge.inference.InferenceService</t>
        </is>
      </c>
      <c r="G56" s="36" t="inlineStr">
        <is>
          <t>Shows StreamInference(InferenceRequest) returns (stream InferenceResponse).</t>
        </is>
      </c>
      <c r="H56" s="26" t="inlineStr">
        <is>
          <t>Pass</t>
        </is>
      </c>
      <c r="I56" s="36" t="inlineStr">
        <is>
          <t>service InferenceService { rpc StreamInference(InferenceRequest) returns (stream InferenceResponse); }.</t>
        </is>
      </c>
    </row>
    <row r="57" ht="15" customHeight="1" s="20">
      <c r="A57" s="34" t="inlineStr">
        <is>
          <t>GRP-03</t>
        </is>
      </c>
      <c r="B57" s="26" t="inlineStr">
        <is>
          <t>F</t>
        </is>
      </c>
      <c r="C57" s="26" t="inlineStr">
        <is>
          <t>gRPC core</t>
        </is>
      </c>
      <c r="D57" s="35" t="inlineStr">
        <is>
          <t>P0</t>
        </is>
      </c>
      <c r="E57" s="36" t="inlineStr">
        <is>
          <t>gRPC health check</t>
        </is>
      </c>
      <c r="F57" s="36" t="inlineStr">
        <is>
          <t>grpcurl -plaintext $GRPC grpc.health.v1.Health/Check</t>
        </is>
      </c>
      <c r="G57" s="36" t="inlineStr">
        <is>
          <t>{"status":"SERVING"}</t>
        </is>
      </c>
      <c r="H57" s="26" t="inlineStr">
        <is>
          <t>Fail</t>
        </is>
      </c>
      <c r="I57" s="36" t="inlineStr">
        <is>
          <t>grpcurl error: "target server does not expose service grpc.health.v1.Health". The gRPC standard Health service is not registered at all (not just missing from reflection). Breaks K8s liveness probes, Envoy gRPC health checks, service-mesh integration. See #227.</t>
        </is>
      </c>
    </row>
    <row r="58" ht="35.05" customHeight="1" s="20">
      <c r="A58" s="34" t="inlineStr">
        <is>
          <t>GRP-04</t>
        </is>
      </c>
      <c r="B58" s="26" t="inlineStr">
        <is>
          <t>F</t>
        </is>
      </c>
      <c r="C58" s="26" t="inlineStr">
        <is>
          <t>gRPC core</t>
        </is>
      </c>
      <c r="D58" s="35" t="inlineStr">
        <is>
          <t>P0</t>
        </is>
      </c>
      <c r="E58" s="36" t="inlineStr">
        <is>
          <t>Streaming inference</t>
        </is>
      </c>
      <c r="F58" s="36" t="inlineStr">
        <is>
          <t>grpcurl -plaintext -d '{"model":"&lt;alias&gt;","messages":[{"role":"user","content":"hi"}]}' $GRPC llamaforge.inference.InferenceService/StreamInference</t>
        </is>
      </c>
      <c r="G58" s="36" t="inlineStr">
        <is>
          <t>Stream of InferenceResponse with token content, terminal stop.</t>
        </is>
      </c>
      <c r="H58" s="26" t="inlineStr">
        <is>
          <t>Pass</t>
        </is>
      </c>
      <c r="I58" s="36" t="inlineStr">
        <is>
          <t>Stream works: QueueUpdate -&gt; Tokens -&gt; terminal Stop event. FINDINGS: (1) InferenceResponse uses single "payload" string field carrying JSON-in-protobuf ({"Token":"..."}, {"Stop":{...}}), defeating typed gRPC codegen — see #228. (2) Stop.finish_reason="stop" with output_tokens=max_tokens=16 confirms #224 is at the dispatch/proto layer, not shim translation.</t>
        </is>
      </c>
    </row>
    <row r="59" ht="23.85" customHeight="1" s="20">
      <c r="A59" s="34" t="inlineStr">
        <is>
          <t>GRP-05</t>
        </is>
      </c>
      <c r="B59" s="26" t="inlineStr">
        <is>
          <t>F</t>
        </is>
      </c>
      <c r="C59" s="26" t="inlineStr">
        <is>
          <t>gRPC core</t>
        </is>
      </c>
      <c r="D59" s="37" t="inlineStr">
        <is>
          <t>P1</t>
        </is>
      </c>
      <c r="E59" s="36" t="inlineStr">
        <is>
          <t>Management over gRPC</t>
        </is>
      </c>
      <c r="F59" s="36" t="inlineStr">
        <is>
          <t>grpcurl -plaintext $GRPC llamaforge.management.ManagementService/ListServers</t>
        </is>
      </c>
      <c r="G59" s="36" t="inlineStr">
        <is>
          <t>Server list (mirrors GET /api/servers).</t>
        </is>
      </c>
      <c r="H59" s="26" t="inlineStr">
        <is>
          <t>Pass</t>
        </is>
      </c>
      <c r="I59" s="36" t="inlineStr">
        <is>
          <t>ListServers returns both servers correctly (state=Running, alias, port, slots_total matches config). FINDING: same JSON-in-protobuf payload-string pattern as #228 — extends to Management surface. Also: gRPC response carries extra fields not in HTTP /api/servers (port, started_at, last_restart_at) — possible DTO divergence worth checking. Commented on #228.</t>
        </is>
      </c>
    </row>
    <row r="60" ht="15" customHeight="1" s="20">
      <c r="A60" s="34" t="inlineStr">
        <is>
          <t>GRP-06</t>
        </is>
      </c>
      <c r="B60" s="26" t="inlineStr">
        <is>
          <t>F</t>
        </is>
      </c>
      <c r="C60" s="26" t="inlineStr">
        <is>
          <t>gRPC core</t>
        </is>
      </c>
      <c r="D60" s="37" t="inlineStr">
        <is>
          <t>P1</t>
        </is>
      </c>
      <c r="E60" s="36" t="inlineStr">
        <is>
          <t>ReloadConfig (hot)</t>
        </is>
      </c>
      <c r="F60" s="36" t="inlineStr">
        <is>
          <t>After alias-only edit: ManagementService/ReloadConfig</t>
        </is>
      </c>
      <c r="G60" s="36" t="inlineStr">
        <is>
          <t>Success; alias change applied to running fleet.</t>
        </is>
      </c>
      <c r="H60" s="26" t="inlineStr">
        <is>
          <t>Pass</t>
        </is>
      </c>
      <c r="I60" s="36" t="inlineStr">
        <is>
          <t>gRPC ReloadConfig returned {} (success) during MGT-08 run — same alias change took effect on the fleet via the gRPC path as well. HTTP and gRPC reload surfaces are at parity.</t>
        </is>
      </c>
    </row>
    <row r="61" ht="15" customHeight="1" s="20">
      <c r="A61" s="34" t="inlineStr">
        <is>
          <t>GRP-07</t>
        </is>
      </c>
      <c r="B61" s="26" t="inlineStr">
        <is>
          <t>F</t>
        </is>
      </c>
      <c r="C61" s="26" t="inlineStr">
        <is>
          <t>gRPC core</t>
        </is>
      </c>
      <c r="D61" s="37" t="inlineStr">
        <is>
          <t>P1</t>
        </is>
      </c>
      <c r="E61" s="36" t="inlineStr">
        <is>
          <t>Unknown model -&gt; NOT_FOUND</t>
        </is>
      </c>
      <c r="F61" s="36" t="inlineStr">
        <is>
          <t>StreamInference model:'nope'</t>
        </is>
      </c>
      <c r="G61" s="36" t="inlineStr">
        <is>
          <t>gRPC status NOT_FOUND (5), 'Model not found'.</t>
        </is>
      </c>
      <c r="H61" s="26" t="inlineStr">
        <is>
          <t>Pass</t>
        </is>
      </c>
      <c r="I61" s="36" t="inlineStr">
        <is>
          <t>gRPC Code: NotFound (5), Message: "model not found: nope" (richer than plan expected "Model not found" — names the offending alias).</t>
        </is>
      </c>
    </row>
    <row r="62" ht="15" customHeight="1" s="20">
      <c r="A62" s="34" t="inlineStr">
        <is>
          <t>GRP-08</t>
        </is>
      </c>
      <c r="B62" s="26" t="inlineStr">
        <is>
          <t>F</t>
        </is>
      </c>
      <c r="C62" s="26" t="inlineStr">
        <is>
          <t>gRPC core</t>
        </is>
      </c>
      <c r="D62" s="38" t="inlineStr">
        <is>
          <t>P2</t>
        </is>
      </c>
      <c r="E62" s="36" t="inlineStr">
        <is>
          <t>Queue-full mapping</t>
        </is>
      </c>
      <c r="F62" s="36" t="inlineStr">
        <is>
          <t>Saturate (Phase H) + gRPC call</t>
        </is>
      </c>
      <c r="G62" s="36" t="inlineStr">
        <is>
          <t>gRPC status RESOURCE_EXHAUSTED (8).</t>
        </is>
      </c>
      <c r="H62" s="26" t="inlineStr">
        <is>
          <t>Fail</t>
        </is>
      </c>
      <c r="I62" s="36" t="inlineStr">
        <is>
          <t>Carryover from RT-04. gRPC StreamInference probe fired mid-saturation returned Code: Internal, Message: "Rate limited, retry after 5s". Expected per design.md:4342 / 07:277: gRPC RESOURCE_EXHAUSTED with retry_after metadata. Wrong status code (Internal=13 instead of ResourceExhausted=8). Same root rejection surfaces as HTTP 502 backend_error (RT-04). GH #231.</t>
        </is>
      </c>
    </row>
    <row r="63" ht="15" customHeight="1" s="20">
      <c r="A63" s="34" t="inlineStr">
        <is>
          <t>MGT-01</t>
        </is>
      </c>
      <c r="B63" s="26" t="inlineStr">
        <is>
          <t>G</t>
        </is>
      </c>
      <c r="C63" s="26" t="inlineStr">
        <is>
          <t>Management API</t>
        </is>
      </c>
      <c r="D63" s="35" t="inlineStr">
        <is>
          <t>P0</t>
        </is>
      </c>
      <c r="E63" s="36" t="inlineStr">
        <is>
          <t>List servers</t>
        </is>
      </c>
      <c r="F63" s="36" t="inlineStr">
        <is>
          <t>curl -s $HTTP/api/servers | jq</t>
        </is>
      </c>
      <c r="G63" s="36" t="inlineStr">
        <is>
          <t>Array {id,model,state,slots_total,slots_busy}. Note an id.</t>
        </is>
      </c>
      <c r="H63" s="26" t="inlineStr">
        <is>
          <t>Pass</t>
        </is>
      </c>
      <c r="I63" s="36" t="inlineStr">
        <is>
          <t>Verified via LIF-04 (/v1/servers payload) and LIF-05 (diff against /api/servers -&gt; identical). Both servers Running, slot counts match config.</t>
        </is>
      </c>
    </row>
    <row r="64" ht="15" customHeight="1" s="20">
      <c r="A64" s="34" t="inlineStr">
        <is>
          <t>MGT-02</t>
        </is>
      </c>
      <c r="B64" s="26" t="inlineStr">
        <is>
          <t>G</t>
        </is>
      </c>
      <c r="C64" s="26" t="inlineStr">
        <is>
          <t>Management API</t>
        </is>
      </c>
      <c r="D64" s="35" t="inlineStr">
        <is>
          <t>P0</t>
        </is>
      </c>
      <c r="E64" s="36" t="inlineStr">
        <is>
          <t>Stop a server</t>
        </is>
      </c>
      <c r="F64" s="36" t="inlineStr">
        <is>
          <t>curl -i -s -X POST $HTTP/api/servers/&lt;id&gt;/stop</t>
        </is>
      </c>
      <c r="G64" s="36" t="inlineStr">
        <is>
          <t>HTTP 200. Child gone (pgrep); state Draining-&gt;Stopped.</t>
        </is>
      </c>
      <c r="H64" s="26" t="inlineStr">
        <is>
          <t>Pass</t>
        </is>
      </c>
      <c r="I64" s="36" t="inlineStr">
        <is>
          <t>HTTP 200, x-request-id present. /api/servers shows Llama3.2-3B state=Stopped, Gemma3-27B still Running. pgrep shows only 1 child remaining. (Draining state not observed due to fast transition; final state correct.)</t>
        </is>
      </c>
    </row>
    <row r="65" ht="15" customHeight="1" s="20">
      <c r="A65" s="34" t="inlineStr">
        <is>
          <t>MGT-03</t>
        </is>
      </c>
      <c r="B65" s="26" t="inlineStr">
        <is>
          <t>G</t>
        </is>
      </c>
      <c r="C65" s="26" t="inlineStr">
        <is>
          <t>Management API</t>
        </is>
      </c>
      <c r="D65" s="35" t="inlineStr">
        <is>
          <t>P0</t>
        </is>
      </c>
      <c r="E65" s="36" t="inlineStr">
        <is>
          <t>Start a server</t>
        </is>
      </c>
      <c r="F65" s="36" t="inlineStr">
        <is>
          <t>curl -i -s -X POST $HTTP/api/servers/&lt;id&gt;/start</t>
        </is>
      </c>
      <c r="G65" s="36" t="inlineStr">
        <is>
          <t>HTTP 200. Child respawns; state Starting-&gt;Running.</t>
        </is>
      </c>
      <c r="H65" s="26" t="inlineStr">
        <is>
          <t>Pass</t>
        </is>
      </c>
      <c r="I65" s="36" t="inlineStr">
        <is>
          <t>HTTP 200. State transitioned: Starting (immediate poll) -&gt; Running (after 2s, stable). New child PID 424437 (Llama3.2-3B respawned). Covers LIF-07 (Starting-&gt;Running visible).</t>
        </is>
      </c>
    </row>
    <row r="66" ht="15" customHeight="1" s="20">
      <c r="A66" s="34" t="inlineStr">
        <is>
          <t>MGT-04</t>
        </is>
      </c>
      <c r="B66" s="26" t="inlineStr">
        <is>
          <t>G</t>
        </is>
      </c>
      <c r="C66" s="26" t="inlineStr">
        <is>
          <t>Management API</t>
        </is>
      </c>
      <c r="D66" s="37" t="inlineStr">
        <is>
          <t>P1</t>
        </is>
      </c>
      <c r="E66" s="36" t="inlineStr">
        <is>
          <t>Bad slug -&gt; 400</t>
        </is>
      </c>
      <c r="F66" s="36" t="inlineStr">
        <is>
          <t>POST $HTTP/api/servers/Bad%20Id!/start</t>
        </is>
      </c>
      <c r="G66" s="36" t="inlineStr">
        <is>
          <t>HTTP 400 invalid_body (slug rejected before touching fleet).</t>
        </is>
      </c>
      <c r="H66" s="26" t="inlineStr">
        <is>
          <t>Pass</t>
        </is>
      </c>
      <c r="I66" s="36" t="inlineStr">
        <is>
          <t>HTTP 400 invalid_body, message "validation failed: ServerId 'Bad Id!' contains invalid character ' '". Slug rule rejected before touching the fleet.</t>
        </is>
      </c>
    </row>
    <row r="67" ht="15" customHeight="1" s="20">
      <c r="A67" s="34" t="inlineStr">
        <is>
          <t>MGT-05</t>
        </is>
      </c>
      <c r="B67" s="26" t="inlineStr">
        <is>
          <t>G</t>
        </is>
      </c>
      <c r="C67" s="26" t="inlineStr">
        <is>
          <t>Management API</t>
        </is>
      </c>
      <c r="D67" s="37" t="inlineStr">
        <is>
          <t>P1</t>
        </is>
      </c>
      <c r="E67" s="36" t="inlineStr">
        <is>
          <t>Queue status</t>
        </is>
      </c>
      <c r="F67" s="36" t="inlineStr">
        <is>
          <t>curl -s $HTTP/api/queue | jq</t>
        </is>
      </c>
      <c r="G67" s="36" t="inlineStr">
        <is>
          <t>{depth:&lt;n&gt;,estimated_throughput_req_sec:&lt;f&gt;}. Idle depth 0.</t>
        </is>
      </c>
      <c r="H67" s="26" t="inlineStr">
        <is>
          <t>Pass</t>
        </is>
      </c>
      <c r="I67" s="36" t="inlineStr">
        <is>
          <t>{"depth":0, "estimated_throughput_req_sec":0.0}. Shape matches; idle state correct.</t>
        </is>
      </c>
    </row>
    <row r="68" ht="23.85" customHeight="1" s="20">
      <c r="A68" s="34" t="inlineStr">
        <is>
          <t>MGT-06</t>
        </is>
      </c>
      <c r="B68" s="26" t="inlineStr">
        <is>
          <t>G</t>
        </is>
      </c>
      <c r="C68" s="26" t="inlineStr">
        <is>
          <t>Management API</t>
        </is>
      </c>
      <c r="D68" s="37" t="inlineStr">
        <is>
          <t>P1</t>
        </is>
      </c>
      <c r="E68" s="36" t="inlineStr">
        <is>
          <t>Cancel by request id</t>
        </is>
      </c>
      <c r="F68" s="36" t="inlineStr">
        <is>
          <t>While long request runs: DELETE $HTTP/api/queue/&lt;request-uuid&gt;</t>
        </is>
      </c>
      <c r="G68" s="36" t="inlineStr">
        <is>
          <t>HTTP 200 if cancellable. UUID from x-request-id header.</t>
        </is>
      </c>
      <c r="H68" s="26" t="inlineStr">
        <is>
          <t>Fail</t>
        </is>
      </c>
      <c r="I68" s="36" t="inlineStr">
        <is>
          <t>DELETE /api/queue/&lt;x-request-id-of-in-flight-request&gt; returns HTTP 500 internal_error "Request not found", and the request continues streaming (had to kill client manually after 5s). Plan expected HTTP 200 + cancellation. Two issues: wrong status code (500 should be 404), and the cancel API does not recognize in-flight request IDs even though the plan explicitly says to use the x-request-id of the in-flight request. See #229.</t>
        </is>
      </c>
    </row>
    <row r="69" ht="15" customHeight="1" s="20">
      <c r="A69" s="34" t="inlineStr">
        <is>
          <t>MGT-07</t>
        </is>
      </c>
      <c r="B69" s="26" t="inlineStr">
        <is>
          <t>G</t>
        </is>
      </c>
      <c r="C69" s="26" t="inlineStr">
        <is>
          <t>Management API</t>
        </is>
      </c>
      <c r="D69" s="38" t="inlineStr">
        <is>
          <t>P2</t>
        </is>
      </c>
      <c r="E69" s="36" t="inlineStr">
        <is>
          <t>Cancel non-UUID -&gt; 400</t>
        </is>
      </c>
      <c r="F69" s="36" t="inlineStr">
        <is>
          <t>DELETE $HTTP/api/queue/not-a-uuid</t>
        </is>
      </c>
      <c r="G69" s="36" t="inlineStr">
        <is>
          <t>HTTP 400 invalid_body ('Invalid RequestId').</t>
        </is>
      </c>
      <c r="H69" s="26" t="inlineStr">
        <is>
          <t>Pass</t>
        </is>
      </c>
      <c r="I69" s="36" t="inlineStr">
        <is>
          <t>HTTP 400, error=invalid_body, message="Invalid RequestId". Slug check fires before the cancel handler.</t>
        </is>
      </c>
    </row>
    <row r="70" ht="23.85" customHeight="1" s="20">
      <c r="A70" s="34" t="inlineStr">
        <is>
          <t>MGT-08</t>
        </is>
      </c>
      <c r="B70" s="26" t="inlineStr">
        <is>
          <t>G</t>
        </is>
      </c>
      <c r="C70" s="26" t="inlineStr">
        <is>
          <t>Management API</t>
        </is>
      </c>
      <c r="D70" s="35" t="inlineStr">
        <is>
          <t>P0</t>
        </is>
      </c>
      <c r="E70" s="36" t="inlineStr">
        <is>
          <t>Reload hot-reloadable</t>
        </is>
      </c>
      <c r="F70" s="36" t="inlineStr">
        <is>
          <t>Edit only alias; POST $HTTP/api/config/reload</t>
        </is>
      </c>
      <c r="G70" s="36" t="inlineStr">
        <is>
          <t>HTTP 200. New alias in /v1/models &amp; /v1/servers. Logs reload.applying/applied.</t>
        </is>
      </c>
      <c r="H70" s="26" t="inlineStr">
        <is>
          <t>Pass</t>
        </is>
      </c>
      <c r="I70" s="36" t="inlineStr">
        <is>
          <t>HTTP 200. After editing alias Llama3.2-3B -&gt; Llama3.2-3B-hot, /v1/models reflected the new alias immediately. Logs showed lifecycle.config.reload.applying / applied events. Reverted to original alias after test, second reload also applied cleanly.</t>
        </is>
      </c>
    </row>
    <row r="71" ht="23.85" customHeight="1" s="20">
      <c r="A71" s="34" t="inlineStr">
        <is>
          <t>MGT-09</t>
        </is>
      </c>
      <c r="B71" s="26" t="inlineStr">
        <is>
          <t>G</t>
        </is>
      </c>
      <c r="C71" s="26" t="inlineStr">
        <is>
          <t>Management API</t>
        </is>
      </c>
      <c r="D71" s="35" t="inlineStr">
        <is>
          <t>P0</t>
        </is>
      </c>
      <c r="E71" s="36" t="inlineStr">
        <is>
          <t>Reload restart-required -&gt; 412</t>
        </is>
      </c>
      <c r="F71" s="36" t="inlineStr">
        <is>
          <t>Edit ctx_size/port/parallel_slots/model_path; POST /api/config/reload</t>
        </is>
      </c>
      <c r="G71" s="36" t="inlineStr">
        <is>
          <t>HTTP 412 {error:precondition_failed,message:'config diff touches restart-required server fields ([...]); restart...'}. Fleet unchanged.</t>
        </is>
      </c>
      <c r="H71" s="26" t="inlineStr">
        <is>
          <t>Pass</t>
        </is>
      </c>
      <c r="I71" s="36" t="inlineStr">
        <is>
          <t>HTTP 412 precondition_failed, message names offending field "[CtxSize]". Fleet kept running on old ctx_size. Reverted after test.</t>
        </is>
      </c>
    </row>
    <row r="72" ht="23.85" customHeight="1" s="20">
      <c r="A72" s="34" t="inlineStr">
        <is>
          <t>MGT-10</t>
        </is>
      </c>
      <c r="B72" s="26" t="inlineStr">
        <is>
          <t>G</t>
        </is>
      </c>
      <c r="C72" s="26" t="inlineStr">
        <is>
          <t>Management API</t>
        </is>
      </c>
      <c r="D72" s="37" t="inlineStr">
        <is>
          <t>P1</t>
        </is>
      </c>
      <c r="E72" s="36" t="inlineStr">
        <is>
          <t>Per-request metrics</t>
        </is>
      </c>
      <c r="F72" s="36" t="inlineStr">
        <is>
          <t>curl -s '$HTTP/api/metrics/requests?limit=10' | jq</t>
        </is>
      </c>
      <c r="G72" s="36" t="inlineStr">
        <is>
          <t>JSON array of recent rows (TTFT, tokens, timing, server_id, model). Supports offset + filters.</t>
        </is>
      </c>
      <c r="H72" s="26" t="inlineStr">
        <is>
          <t>Pass</t>
        </is>
      </c>
      <c r="I72" s="36" t="inlineStr">
        <is>
          <t>Rich metrics shape: request_id/model/server/task/requestor/timestamps/ttft_ms/generation_tps/tokens — all there. Filter via ?limit honored. FINDINGS: (1) dispatched_at and slot_id always null -&gt; #230. (2) finish_reason persisted incorrectly (-&gt; #224 metrics-store evidence). (3) Failed-status rows have null error_message — minor. Also: this implicitly satisfies OBS-07 (TTFT/throughput captured).</t>
        </is>
      </c>
    </row>
    <row r="73" ht="23.85" customHeight="1" s="20">
      <c r="A73" s="34" t="inlineStr">
        <is>
          <t>MGT-11</t>
        </is>
      </c>
      <c r="B73" s="26" t="inlineStr">
        <is>
          <t>G</t>
        </is>
      </c>
      <c r="C73" s="26" t="inlineStr">
        <is>
          <t>Management API</t>
        </is>
      </c>
      <c r="D73" s="37" t="inlineStr">
        <is>
          <t>P1</t>
        </is>
      </c>
      <c r="E73" s="36" t="inlineStr">
        <is>
          <t>Aggregated metrics</t>
        </is>
      </c>
      <c r="F73" s="36" t="inlineStr">
        <is>
          <t>curl -s '$HTTP/api/metrics/aggregated?group_by=server_id,model_name' | jq</t>
        </is>
      </c>
      <c r="G73" s="36" t="inlineStr">
        <is>
          <t>Aggregates by requested dims. Valid: server_id,hour,model_name,requestor. Invalid field -&gt; 500 naming it.</t>
        </is>
      </c>
      <c r="H73" s="26" t="inlineStr">
        <is>
          <t>Pass</t>
        </is>
      </c>
      <c r="I73" s="36" t="inlineStr">
        <is>
          <t>Valid group_by=server_id,model_name returns two groups (one per server×model) with request_count, sum_*_tokens, avg/p50/p99 ttft_ms, avg/p50/p99 generation_tps, avg_total_latency_ms. Invalid field returns 500 internal_error naming the bad field per plan (note: 500 for invalid input is the same status-code anti-pattern flagged in #229).</t>
        </is>
      </c>
    </row>
    <row r="74" ht="15" customHeight="1" s="20">
      <c r="A74" s="34" t="inlineStr">
        <is>
          <t>MGT-12</t>
        </is>
      </c>
      <c r="B74" s="26" t="inlineStr">
        <is>
          <t>G</t>
        </is>
      </c>
      <c r="C74" s="26" t="inlineStr">
        <is>
          <t>Management API</t>
        </is>
      </c>
      <c r="D74" s="38" t="inlineStr">
        <is>
          <t>P2</t>
        </is>
      </c>
      <c r="E74" s="36" t="inlineStr">
        <is>
          <t>WAL checkpoint default</t>
        </is>
      </c>
      <c r="F74" s="36" t="inlineStr">
        <is>
          <t>curl -i -s -X POST $HTTP/api/maintenance/wal-checkpoint</t>
        </is>
      </c>
      <c r="G74" s="36" t="inlineStr">
        <is>
          <t>HTTP 200. Uses configured wal_checkpoint_mode (default passive).</t>
        </is>
      </c>
      <c r="H74" s="26" t="inlineStr">
        <is>
          <t>Pass</t>
        </is>
      </c>
      <c r="I74" s="36" t="inlineStr">
        <is>
          <t>HTTP 200. Passive checkpoint (default mode) — WAL stayed at 129K (passive doesn't truncate; integrates pages into main DB).</t>
        </is>
      </c>
    </row>
    <row r="75" ht="15" customHeight="1" s="20">
      <c r="A75" s="34" t="inlineStr">
        <is>
          <t>MGT-13</t>
        </is>
      </c>
      <c r="B75" s="26" t="inlineStr">
        <is>
          <t>G</t>
        </is>
      </c>
      <c r="C75" s="26" t="inlineStr">
        <is>
          <t>Management API</t>
        </is>
      </c>
      <c r="D75" s="38" t="inlineStr">
        <is>
          <t>P2</t>
        </is>
      </c>
      <c r="E75" s="36" t="inlineStr">
        <is>
          <t>WAL checkpoint truncate</t>
        </is>
      </c>
      <c r="F75" s="36" t="inlineStr">
        <is>
          <t>POST '$HTTP/api/maintenance/wal-checkpoint?mode=truncate'</t>
        </is>
      </c>
      <c r="G75" s="36" t="inlineStr">
        <is>
          <t>HTTP 200; -wal file truncated (verify size drop).</t>
        </is>
      </c>
      <c r="H75" s="26" t="inlineStr">
        <is>
          <t>Pass</t>
        </is>
      </c>
      <c r="I75" s="36" t="inlineStr">
        <is>
          <t>HTTP 200. truncate mode shrank llamaforge.db-wal from 129K to 0 bytes.</t>
        </is>
      </c>
    </row>
    <row r="76" ht="23.85" customHeight="1" s="20">
      <c r="A76" s="34" t="inlineStr">
        <is>
          <t>RT-01</t>
        </is>
      </c>
      <c r="B76" s="26" t="inlineStr">
        <is>
          <t>H</t>
        </is>
      </c>
      <c r="C76" s="26" t="inlineStr">
        <is>
          <t>Routing &amp; scheduling</t>
        </is>
      </c>
      <c r="D76" s="35" t="inlineStr">
        <is>
          <t>P0</t>
        </is>
      </c>
      <c r="E76" s="36" t="inlineStr">
        <is>
          <t>Alias routing</t>
        </is>
      </c>
      <c r="F76" s="36" t="inlineStr">
        <is>
          <t>Send to alias A and alias B; check /api/metrics/requests</t>
        </is>
      </c>
      <c r="G76" s="36" t="inlineStr">
        <is>
          <t>Each served by matching-alias server; rows show correct server_id per model.</t>
        </is>
      </c>
      <c r="H76" s="26" t="inlineStr">
        <is>
          <t>Pass</t>
        </is>
      </c>
      <c r="I76" s="36" t="inlineStr">
        <is>
          <t>Alias routing verified via MGT-11 aggregated metrics: clean per-server attribution (Gemma3-27B server served its 15 reqs, Llama3.2-3B server its 19); each request routed to the server whose alias matched the model field.</t>
        </is>
      </c>
    </row>
    <row r="77" ht="15" customHeight="1" s="20">
      <c r="A77" s="34" t="inlineStr">
        <is>
          <t>RT-02</t>
        </is>
      </c>
      <c r="B77" s="26" t="inlineStr">
        <is>
          <t>H</t>
        </is>
      </c>
      <c r="C77" s="26" t="inlineStr">
        <is>
          <t>Routing &amp; scheduling</t>
        </is>
      </c>
      <c r="D77" s="37" t="inlineStr">
        <is>
          <t>P1</t>
        </is>
      </c>
      <c r="E77" s="36" t="inlineStr">
        <is>
          <t>Multi-instance balancing</t>
        </is>
      </c>
      <c r="F77" s="36" t="inlineStr">
        <is>
          <t>Two instances of same alias; fire concurrent requests</t>
        </is>
      </c>
      <c r="G77" s="36" t="inlineStr">
        <is>
          <t>Load spreads by slot availability (slots_busy + server_id distribution).</t>
        </is>
      </c>
      <c r="H77" s="26" t="inlineStr">
        <is>
          <t>Pass</t>
        </is>
      </c>
      <c r="I77" s="36" t="inlineStr">
        <is>
          <t>Added 2nd Llama3.2-3B instance (port 8085, same alias); 8 concurrent reqs spread across both instances. Mid-load both reached busy=1/2; metrics server_id distribution {...311b3c:6, ...e6c632:2} confirms both served. Gemma3-27B (diff alias) stayed idle. Note: 6:2 skew, never saw both slots busy at once - consistent with fill-by-slot-availability (fast 3B frees slots quickly and gets re-picked) rather than round-robin; not a failure, load did spread.</t>
        </is>
      </c>
    </row>
    <row r="78" ht="23.85" customHeight="1" s="20">
      <c r="A78" s="34" t="inlineStr">
        <is>
          <t>RT-03</t>
        </is>
      </c>
      <c r="B78" s="26" t="inlineStr">
        <is>
          <t>H</t>
        </is>
      </c>
      <c r="C78" s="26" t="inlineStr">
        <is>
          <t>Routing &amp; scheduling</t>
        </is>
      </c>
      <c r="D78" s="38" t="inlineStr">
        <is>
          <t>P2</t>
        </is>
      </c>
      <c r="E78" s="36" t="inlineStr">
        <is>
          <t>KV-cache prefix affinity</t>
        </is>
      </c>
      <c r="F78" s="36" t="inlineStr">
        <is>
          <t>Two requests sharing long identical prefix to multi-instance alias</t>
        </is>
      </c>
      <c r="G78" s="36" t="inlineStr">
        <is>
          <t>Routing prefers instance already holding the prefix (same server_id when affinity dominates).</t>
        </is>
      </c>
      <c r="H78" s="26" t="inlineStr">
        <is>
          <t>N/A</t>
        </is>
      </c>
      <c r="I78" s="36" t="inlineStr">
        <is>
          <t>Prompt-prefix KV-cache affinity is explicitly Tier 2, deferred to v1.1 per 05_SMART_ROUTING.md ("Explicitly NOT in v1"). In v1 the scoring formula uses w_affinity x 0.0, so prefix affinity never influences routing. Observed: two identical-prefix reqs routed to different instances (e6c632 then 311b3c) - CORRECT for v1.0. Only session affinity (session_id-&gt;server_id LRU) is implemented in v1, not prompt-prefix affinity. Test plan RT-03 is mis-scoped for this build; flag for plan revision.</t>
        </is>
      </c>
    </row>
    <row r="79" ht="23.85" customHeight="1" s="20">
      <c r="A79" s="34" t="inlineStr">
        <is>
          <t>RT-04</t>
        </is>
      </c>
      <c r="B79" s="26" t="inlineStr">
        <is>
          <t>H</t>
        </is>
      </c>
      <c r="C79" s="26" t="inlineStr">
        <is>
          <t>Routing &amp; scheduling</t>
        </is>
      </c>
      <c r="D79" s="37" t="inlineStr">
        <is>
          <t>P1</t>
        </is>
      </c>
      <c r="E79" s="36" t="inlineStr">
        <is>
          <t>Queue saturation -&gt; 429</t>
        </is>
      </c>
      <c r="F79" s="36" t="inlineStr">
        <is>
          <t>queue_max_depth low + parallel_slots=1; fire many concurrent long requests</t>
        </is>
      </c>
      <c r="G79" s="36" t="inlineStr">
        <is>
          <t>Excess get HTTP 429 {error:queue_full} + Retry-After. In-slot requests complete.</t>
        </is>
      </c>
      <c r="H79" s="26" t="inlineStr">
        <is>
          <t>Fail</t>
        </is>
      </c>
      <c r="I79" s="36" t="inlineStr">
        <is>
          <t>Queue saturation maps to WRONG status on both transports. Config: 1 slot, queue_max_depth=2. Fired 20 concurrent long reqs -&gt; 2x HTTP 200, 18x HTTP 502 {"error":"backend_error","message":"Backend error"} - NO 429, NO queue_full, NO Retry-After header. Expected per design.md:4342 / 04:362 / 07:277: HTTP 429 {"error":"queue_full"} + Retry-After. Linked gRPC failure in GRP-08. GH #231.</t>
        </is>
      </c>
    </row>
    <row r="80" ht="35.05" customHeight="1" s="20">
      <c r="A80" s="34" t="inlineStr">
        <is>
          <t>RT-05</t>
        </is>
      </c>
      <c r="B80" s="26" t="inlineStr">
        <is>
          <t>H</t>
        </is>
      </c>
      <c r="C80" s="26" t="inlineStr">
        <is>
          <t>Routing &amp; scheduling</t>
        </is>
      </c>
      <c r="D80" s="38" t="inlineStr">
        <is>
          <t>P2</t>
        </is>
      </c>
      <c r="E80" s="36" t="inlineStr">
        <is>
          <t>Priority ordering</t>
        </is>
      </c>
      <c r="F80" s="36" t="inlineStr">
        <is>
          <t>Submit low (default) vs high (bonus/emergency) under contention</t>
        </is>
      </c>
      <c r="G80" s="36" t="inlineStr">
        <is>
          <t>Higher effective-priority dequeued first. NOTE: HTTP path attributes all to anonymous/default (see Known behaviors); validate via gRPC/queue internals.</t>
        </is>
      </c>
      <c r="H80" s="26" t="inlineStr">
        <is>
          <t>N/A</t>
        </is>
      </c>
      <c r="I80" s="36" t="inlineStr">
        <is>
          <t>Priority ordering not exercisable via client API in v1.0: priority keys off requestor/task type, but neither the HTTP shim (attributes all to anonymous/default, known behavior) nor the gRPC InferenceRequest proto (no requestor/priority/task field) can submit a differentiated-priority request. Test plan itself flags this as gRPC/queue-internal only. Covered by queue/scheduler unit tests, not black-box E2E.</t>
        </is>
      </c>
    </row>
    <row r="81" ht="23.85" customHeight="1" s="20">
      <c r="A81" s="34" t="inlineStr">
        <is>
          <t>RT-06</t>
        </is>
      </c>
      <c r="B81" s="26" t="inlineStr">
        <is>
          <t>H</t>
        </is>
      </c>
      <c r="C81" s="26" t="inlineStr">
        <is>
          <t>Routing &amp; scheduling</t>
        </is>
      </c>
      <c r="D81" s="38" t="inlineStr">
        <is>
          <t>P2</t>
        </is>
      </c>
      <c r="E81" s="36" t="inlineStr">
        <is>
          <t>Starvation boost</t>
        </is>
      </c>
      <c r="F81" s="36" t="inlineStr">
        <is>
          <t>Leave low-priority queued beyond starvation.threshold_secs (30s)</t>
        </is>
      </c>
      <c r="G81" s="36" t="inlineStr">
        <is>
          <t>Aged request gets boost (boost_per_interval) and eventually runs.</t>
        </is>
      </c>
      <c r="H81" s="26" t="inlineStr">
        <is>
          <t>N/A</t>
        </is>
      </c>
      <c r="I81" s="36" t="inlineStr">
        <is>
          <t>Starvation boost not exercisable via client API in v1.0 for the same reason as RT-05: no client-facing requestor/priority field on HTTP or gRPC, so no differentiated-priority request can age in the queue. Covered by queue unit tests.</t>
        </is>
      </c>
    </row>
    <row r="82" ht="23.85" customHeight="1" s="20">
      <c r="A82" s="34" t="inlineStr">
        <is>
          <t>RT-07</t>
        </is>
      </c>
      <c r="B82" s="26" t="inlineStr">
        <is>
          <t>H</t>
        </is>
      </c>
      <c r="C82" s="26" t="inlineStr">
        <is>
          <t>Routing &amp; scheduling</t>
        </is>
      </c>
      <c r="D82" s="38" t="inlineStr">
        <is>
          <t>P2</t>
        </is>
      </c>
      <c r="E82" s="36" t="inlineStr">
        <is>
          <t>Preemption (if enabled)</t>
        </is>
      </c>
      <c r="F82" s="36" t="inlineStr">
        <is>
          <t>[preemption] enabled=true; saturate low-pri; submit emergency</t>
        </is>
      </c>
      <c r="G82" s="36" t="inlineStr">
        <is>
          <t>Low-pri with &gt;= min_tokens_before_preempt may be preempted. Default = disabled; verify off case = no preemption.</t>
        </is>
      </c>
      <c r="H82" s="26" t="inlineStr">
        <is>
          <t>Pass</t>
        </is>
      </c>
      <c r="I82" s="36" t="inlineStr">
        <is>
          <t>Off-case verified (default config has preemption DISABLED - no [preemption] section present). Under RT-04 1-slot saturation, admitted requests ran to completion (HTTP 200) with no mid-generation preemption observed. The on-case (enabled=true + emergency request) is not API-exercisable in v1.0 (no client-facing priority field; see RT-05).</t>
        </is>
      </c>
    </row>
    <row r="83" ht="23.85" customHeight="1" s="20">
      <c r="A83" s="34" t="inlineStr">
        <is>
          <t>OBS-01</t>
        </is>
      </c>
      <c r="B83" s="26" t="inlineStr">
        <is>
          <t>I</t>
        </is>
      </c>
      <c r="C83" s="26" t="inlineStr">
        <is>
          <t>Observability</t>
        </is>
      </c>
      <c r="D83" s="35" t="inlineStr">
        <is>
          <t>P0</t>
        </is>
      </c>
      <c r="E83" s="36" t="inlineStr">
        <is>
          <t>Prometheus endpoint</t>
        </is>
      </c>
      <c r="F83" s="36" t="inlineStr">
        <is>
          <t>curl -s $HTTP/metrics | head -40</t>
        </is>
      </c>
      <c r="G83" s="36" t="inlineStr">
        <is>
          <t>Prometheus text: llamaforge_http_requests_total{method,path,status}, http_request_duration_seconds, active_connections, auth_failures_total.</t>
        </is>
      </c>
      <c r="H83" s="26" t="inlineStr">
        <is>
          <t>Pass</t>
        </is>
      </c>
      <c r="I83" s="36" t="inlineStr">
        <is>
          <t>GET /metrics serves Prometheus exposition (143 llamaforge_* lines). Confirmed expected series: llamaforge_http_requests_total{method,path,status}, llamaforge_http_request_duration_seconds (summary w/ quantiles+sum+count), llamaforge_active_connections{transport}. auth_failures_total deferred to SEC phase (appears after a 401). Also exposes queue/dispatch/routing/token gauges.</t>
        </is>
      </c>
    </row>
    <row r="84" ht="15" customHeight="1" s="20">
      <c r="A84" s="34" t="inlineStr">
        <is>
          <t>OBS-02</t>
        </is>
      </c>
      <c r="B84" s="26" t="inlineStr">
        <is>
          <t>I</t>
        </is>
      </c>
      <c r="C84" s="26" t="inlineStr">
        <is>
          <t>Observability</t>
        </is>
      </c>
      <c r="D84" s="37" t="inlineStr">
        <is>
          <t>P1</t>
        </is>
      </c>
      <c r="E84" s="36" t="inlineStr">
        <is>
          <t>Counters move</t>
        </is>
      </c>
      <c r="F84" s="36" t="inlineStr">
        <is>
          <t>Hit /v1/chat/completions a few times; re-scrape</t>
        </is>
      </c>
      <c r="G84" s="36" t="inlineStr">
        <is>
          <t>http_requests_total for that path/status increments.</t>
        </is>
      </c>
      <c r="H84" s="26" t="inlineStr">
        <is>
          <t>Fail</t>
        </is>
      </c>
      <c r="I84" s="36" t="inlineStr">
        <is>
          <t>Counters do NOT accumulate. Fired 3 successful 200 chats: http_requests_total{chat,200} stayed 1, dispatches_total stayed 1, queue_admissions/routing_decisions stayed 1, and tokens_total DECREASED 8-&gt;5 (tracked last requests max_tokens 10-&gt;8-&gt;5) = set/absolute semantics not increment. 14 distinct successful completions left dispatches_total=1. Histogram (*_duration_seconds_count) accumulates fine; only counter-style metrics broken. GH #232. (First attempt was also blocked by the #148 scheduler wedge left over from RT-04 saturation; cleared by restart.)</t>
        </is>
      </c>
    </row>
    <row r="85" ht="23.85" customHeight="1" s="20">
      <c r="A85" s="34" t="inlineStr">
        <is>
          <t>OBS-03</t>
        </is>
      </c>
      <c r="B85" s="26" t="inlineStr">
        <is>
          <t>I</t>
        </is>
      </c>
      <c r="C85" s="26" t="inlineStr">
        <is>
          <t>Observability</t>
        </is>
      </c>
      <c r="D85" s="37" t="inlineStr">
        <is>
          <t>P1</t>
        </is>
      </c>
      <c r="E85" s="36" t="inlineStr">
        <is>
          <t>SQLite persisted</t>
        </is>
      </c>
      <c r="F85" s="36" t="inlineStr">
        <is>
          <t>sqlite3 llamaforge.db '.tables' ; select count(*) from request_metrics</t>
        </is>
      </c>
      <c r="G85" s="36" t="inlineStr">
        <is>
          <t>DB exists at metrics_db_path; rows accumulate.</t>
        </is>
      </c>
      <c r="H85" s="26" t="inlineStr">
        <is>
          <t>Pass</t>
        </is>
      </c>
      <c r="I85" s="36" t="inlineStr">
        <is>
          <t>DB at configured path (./llamaforge.db). Tables: audit_events(64), config_overlays(0), config_snapshots(0), managed_processes(2), request_metrics(64). request_metrics rows accumulate across traffic+restart. Latest row complete: model_name, server_id, ttft_ms=11.4, generation_tps=118, prompt_tps, queue_wait_ms, total_latency_ms, status=completed, finish_reason=stop. Confirms SQLite persistence works (64 rows) - isolates #232 as a Prometheus-counter-only bug (sqlite_writes_total=1 despite 64 real writes). Minor: dispatched_at and slot_id are NULL on completed rows (noted, not filed).</t>
        </is>
      </c>
    </row>
    <row r="86" ht="15" customHeight="1" s="20">
      <c r="A86" s="34" t="inlineStr">
        <is>
          <t>OBS-04</t>
        </is>
      </c>
      <c r="B86" s="26" t="inlineStr">
        <is>
          <t>I</t>
        </is>
      </c>
      <c r="C86" s="26" t="inlineStr">
        <is>
          <t>Observability</t>
        </is>
      </c>
      <c r="D86" s="37" t="inlineStr">
        <is>
          <t>P1</t>
        </is>
      </c>
      <c r="E86" s="36" t="inlineStr">
        <is>
          <t>DB path honored</t>
        </is>
      </c>
      <c r="F86" s="36" t="inlineStr">
        <is>
          <t>Set custom metrics_db_path; restart; traffic</t>
        </is>
      </c>
      <c r="G86" s="36" t="inlineStr">
        <is>
          <t>DB created at custom path, not default.</t>
        </is>
      </c>
      <c r="H86" s="26" t="inlineStr">
        <is>
          <t>Pass</t>
        </is>
      </c>
      <c r="I86" s="36" t="inlineStr">
        <is>
          <t>Set metrics_db_path=/tmp/llamaforge-custom-metrics.db, restarted, sent 2 chats. Custom DB created (with -wal/-shm/.lock) and holds exactly 2 request_metrics rows; old ./llamaforge.db stayed at 64 (not written). Configured path honored, not default.</t>
        </is>
      </c>
    </row>
    <row r="87" ht="23.85" customHeight="1" s="20">
      <c r="A87" s="34" t="inlineStr">
        <is>
          <t>OBS-05</t>
        </is>
      </c>
      <c r="B87" s="26" t="inlineStr">
        <is>
          <t>I</t>
        </is>
      </c>
      <c r="C87" s="26" t="inlineStr">
        <is>
          <t>Observability</t>
        </is>
      </c>
      <c r="D87" s="38" t="inlineStr">
        <is>
          <t>P2</t>
        </is>
      </c>
      <c r="E87" s="36" t="inlineStr">
        <is>
          <t>Structured logs</t>
        </is>
      </c>
      <c r="F87" s="36" t="inlineStr">
        <is>
          <t>log_format=json; observe stdout</t>
        </is>
      </c>
      <c r="G87" s="36" t="inlineStr">
        <is>
          <t>Each line JSON event with stable name (lifecycle.*, transport.request); lifecycle carries request_id.</t>
        </is>
      </c>
      <c r="H87" s="26" t="inlineStr">
        <is>
          <t>Pass</t>
        </is>
      </c>
      <c r="I87" s="36" t="inlineStr">
        <is>
          <t>log_format=json: live startup logs are well-formed JSON objects (timestamp, level, fields.message as stable dotted event name e.g. lifecycle.startup.begin / transport.started / lifecycle.startup.ready, target, structured fields). request_id propagation through request lifecycle confirmed via source: request_id_middleware generates per-request id (middleware.rs:127) and sets it as span field (middleware.rs:144); streaming handlers emit request_id on events (http.rs:195 OpenAI, :484 Anthropic); also surfaces as x-request-id response header (verified Phase D/E).</t>
        </is>
      </c>
    </row>
    <row r="88" ht="15" customHeight="1" s="20">
      <c r="A88" s="34" t="inlineStr">
        <is>
          <t>OBS-06</t>
        </is>
      </c>
      <c r="B88" s="26" t="inlineStr">
        <is>
          <t>I</t>
        </is>
      </c>
      <c r="C88" s="26" t="inlineStr">
        <is>
          <t>Observability</t>
        </is>
      </c>
      <c r="D88" s="38" t="inlineStr">
        <is>
          <t>P2</t>
        </is>
      </c>
      <c r="E88" s="36" t="inlineStr">
        <is>
          <t>Retention setting</t>
        </is>
      </c>
      <c r="F88" s="36" t="inlineStr">
        <is>
          <t>Confirm metrics_retention_days (default 30) read</t>
        </is>
      </c>
      <c r="G88" s="36" t="inlineStr">
        <is>
          <t>Rows beyond window pruned by maintenance path.</t>
        </is>
      </c>
      <c r="H88" s="26" t="inlineStr">
        <is>
          <t>Pass</t>
        </is>
      </c>
      <c r="I88" s="36" t="inlineStr">
        <is>
          <t>By inspection: metrics_retention_days read LIVE in sqlite/prune.rs:32 (config snapshot, hot-reload aware), default 30 (types.rs:246). Prune task start_prune_task (lib.rs:51) computes cutoff=now-retention_days (prune.rs:33), calls prune_events_older_than (store.rs:512), records llamaforge_prune_rows_deleted (observed=0, no &gt;30d rows). Setting honored + prune path wired+instrumented. Actual &gt;30-day deletion not observable in a single session.</t>
        </is>
      </c>
    </row>
    <row r="89" ht="15" customHeight="1" s="20">
      <c r="A89" s="34" t="inlineStr">
        <is>
          <t>OBS-07</t>
        </is>
      </c>
      <c r="B89" s="26" t="inlineStr">
        <is>
          <t>I</t>
        </is>
      </c>
      <c r="C89" s="26" t="inlineStr">
        <is>
          <t>Observability</t>
        </is>
      </c>
      <c r="D89" s="38" t="inlineStr">
        <is>
          <t>P2</t>
        </is>
      </c>
      <c r="E89" s="36" t="inlineStr">
        <is>
          <t>TTFT/throughput captured</t>
        </is>
      </c>
      <c r="F89" s="36" t="inlineStr">
        <is>
          <t>Inspect a metrics row (MGT-10)</t>
        </is>
      </c>
      <c r="G89" s="36" t="inlineStr">
        <is>
          <t>Row includes time-to-first-token and tokens/sec fields.</t>
        </is>
      </c>
      <c r="H89" s="26" t="inlineStr">
        <is>
          <t>Pass</t>
        </is>
      </c>
      <c r="I89" s="36" t="inlineStr">
        <is>
          <t>Verified via MGT-10 — recent rows include ttft_ms, generation_tps, prompt_tps, generation_duration_ms, total_latency_ms, prompt/completion_tokens. All TTFT/throughput-style fields populated correctly.</t>
        </is>
      </c>
    </row>
    <row r="90" ht="23.85" customHeight="1" s="20">
      <c r="A90" s="34" t="inlineStr">
        <is>
          <t>SEC-01</t>
        </is>
      </c>
      <c r="B90" s="26" t="inlineStr">
        <is>
          <t>J</t>
        </is>
      </c>
      <c r="C90" s="26" t="inlineStr">
        <is>
          <t>Security &amp; auth</t>
        </is>
      </c>
      <c r="D90" s="35" t="inlineStr">
        <is>
          <t>P0</t>
        </is>
      </c>
      <c r="E90" s="36" t="inlineStr">
        <is>
          <t>No key -&gt; 401 (HTTP)</t>
        </is>
      </c>
      <c r="F90" s="36" t="inlineStr">
        <is>
          <t>api_key set; POST /v1/chat/completions without auth</t>
        </is>
      </c>
      <c r="G90" s="36" t="inlineStr">
        <is>
          <t>HTTP 401 {error:auth_failure}. Logs transport.auth_failed; increments llamaforge_auth_failures_total.</t>
        </is>
      </c>
      <c r="H90" s="26" t="inlineStr">
        <is>
          <t>Pass</t>
        </is>
      </c>
      <c r="I90" s="36" t="inlineStr">
        <is>
          <t>No key -&gt; HTTP 401 {"error":"auth_failure","message":"Authentication failed"}. Log: transport.auth_failed WARN with ip=127.0.0.1:port and masked provided_key_prefix ("none" no-key / "wron..." for wrong key - key masked to prefix). llamaforge_auth_failures_total present. Two minor notes: (1) counter read 1 despite 4 auth failures = another #232 manifestation; (2) the 401 body omits request_id / no x-request-id header (auth runs as outer layer before request_id assignment) - minor inconsistency vs canonical error model.</t>
        </is>
      </c>
    </row>
    <row r="91" ht="15" customHeight="1" s="20">
      <c r="A91" s="34" t="inlineStr">
        <is>
          <t>SEC-02</t>
        </is>
      </c>
      <c r="B91" s="26" t="inlineStr">
        <is>
          <t>J</t>
        </is>
      </c>
      <c r="C91" s="26" t="inlineStr">
        <is>
          <t>Security &amp; auth</t>
        </is>
      </c>
      <c r="D91" s="35" t="inlineStr">
        <is>
          <t>P0</t>
        </is>
      </c>
      <c r="E91" s="36" t="inlineStr">
        <is>
          <t>Correct bearer -&gt; 200</t>
        </is>
      </c>
      <c r="F91" s="36" t="inlineStr">
        <is>
          <t>add -H 'authorization: Bearer test-secret'</t>
        </is>
      </c>
      <c r="G91" s="36" t="inlineStr">
        <is>
          <t>HTTP 200 normal completion.</t>
        </is>
      </c>
      <c r="H91" s="26" t="inlineStr">
        <is>
          <t>Pass</t>
        </is>
      </c>
      <c r="I91" s="36" t="inlineStr">
        <is>
          <t>Authorization: Bearer test-secret -&gt; HTTP 200 normal completion.</t>
        </is>
      </c>
    </row>
    <row r="92" ht="15" customHeight="1" s="20">
      <c r="A92" s="34" t="inlineStr">
        <is>
          <t>SEC-03</t>
        </is>
      </c>
      <c r="B92" s="26" t="inlineStr">
        <is>
          <t>J</t>
        </is>
      </c>
      <c r="C92" s="26" t="inlineStr">
        <is>
          <t>Security &amp; auth</t>
        </is>
      </c>
      <c r="D92" s="37" t="inlineStr">
        <is>
          <t>P1</t>
        </is>
      </c>
      <c r="E92" s="36" t="inlineStr">
        <is>
          <t>Wrong key -&gt; 401</t>
        </is>
      </c>
      <c r="F92" s="36" t="inlineStr">
        <is>
          <t>-H 'authorization: Bearer wrong'</t>
        </is>
      </c>
      <c r="G92" s="36" t="inlineStr">
        <is>
          <t>HTTP 401 auth_failure.</t>
        </is>
      </c>
      <c r="H92" s="26" t="inlineStr">
        <is>
          <t>Pass</t>
        </is>
      </c>
      <c r="I92" s="36" t="inlineStr">
        <is>
          <t>Authorization: Bearer wrong -&gt; HTTP 401 auth_failure. Log shows provided_key_prefix="wron...".</t>
        </is>
      </c>
    </row>
    <row r="93" ht="15" customHeight="1" s="20">
      <c r="A93" s="34" t="inlineStr">
        <is>
          <t>SEC-04</t>
        </is>
      </c>
      <c r="B93" s="26" t="inlineStr">
        <is>
          <t>J</t>
        </is>
      </c>
      <c r="C93" s="26" t="inlineStr">
        <is>
          <t>Security &amp; auth</t>
        </is>
      </c>
      <c r="D93" s="37" t="inlineStr">
        <is>
          <t>P1</t>
        </is>
      </c>
      <c r="E93" s="36" t="inlineStr">
        <is>
          <t>Auth covers ALL routes</t>
        </is>
      </c>
      <c r="F93" s="36" t="inlineStr">
        <is>
          <t>api_key set; curl /health and /metrics WITHOUT key</t>
        </is>
      </c>
      <c r="G93" s="36" t="inlineStr">
        <is>
          <t>HTTP 401 for both. KNOWN: auth is global; probes must supply the key.</t>
        </is>
      </c>
      <c r="H93" s="26" t="inlineStr">
        <is>
          <t>Pass</t>
        </is>
      </c>
      <c r="I93" s="36" t="inlineStr">
        <is>
          <t>Auth is a global layer (known behavior): with api_key set, /health -&gt; 401 and /metrics -&gt; 401 without a key. Liveness/scrape probes must supply the key.</t>
        </is>
      </c>
    </row>
    <row r="94" ht="15" customHeight="1" s="20">
      <c r="A94" s="34" t="inlineStr">
        <is>
          <t>SEC-05</t>
        </is>
      </c>
      <c r="B94" s="26" t="inlineStr">
        <is>
          <t>J</t>
        </is>
      </c>
      <c r="C94" s="26" t="inlineStr">
        <is>
          <t>Security &amp; auth</t>
        </is>
      </c>
      <c r="D94" s="37" t="inlineStr">
        <is>
          <t>P1</t>
        </is>
      </c>
      <c r="E94" s="36" t="inlineStr">
        <is>
          <t>gRPC auth</t>
        </is>
      </c>
      <c r="F94" s="36" t="inlineStr">
        <is>
          <t>api_key set; ListServers no creds, then with Bearer metadata</t>
        </is>
      </c>
      <c r="G94" s="36" t="inlineStr">
        <is>
          <t>No creds -&gt; UNAUTHENTICATED (16). Correct bearer -&gt; success.</t>
        </is>
      </c>
      <c r="H94" s="26" t="inlineStr">
        <is>
          <t>Pass</t>
        </is>
      </c>
      <c r="I94" s="36" t="inlineStr">
        <is>
          <t>gRPC auth: ListServers with no creds -&gt; code=Unauthenticated (16), desc Authentication failed. With -H authorization: Bearer test-secret -&gt; success, returns server list.</t>
        </is>
      </c>
    </row>
    <row r="95" ht="15" customHeight="1" s="20">
      <c r="A95" s="34" t="inlineStr">
        <is>
          <t>SEC-06</t>
        </is>
      </c>
      <c r="B95" s="26" t="inlineStr">
        <is>
          <t>J</t>
        </is>
      </c>
      <c r="C95" s="26" t="inlineStr">
        <is>
          <t>Security &amp; auth</t>
        </is>
      </c>
      <c r="D95" s="38" t="inlineStr">
        <is>
          <t>P2</t>
        </is>
      </c>
      <c r="E95" s="36" t="inlineStr">
        <is>
          <t>Empty key disables auth</t>
        </is>
      </c>
      <c r="F95" s="36" t="inlineStr">
        <is>
          <t>api_key = ""; restart</t>
        </is>
      </c>
      <c r="G95" s="36" t="inlineStr">
        <is>
          <t>Auth bypassed (empty == no auth); requests succeed without header.</t>
        </is>
      </c>
      <c r="H95" s="26" t="inlineStr">
        <is>
          <t>Pass</t>
        </is>
      </c>
      <c r="I95" s="36" t="inlineStr">
        <is>
          <t>api_key="" disables auth (treated as no-auth, same as omitting): chat /v1/chat/completions -&gt; 200, /health -&gt; 200, /metrics -&gt; 200, all without any auth header.</t>
        </is>
      </c>
    </row>
    <row r="96" ht="23.85" customHeight="1" s="20">
      <c r="A96" s="34" t="inlineStr">
        <is>
          <t>SEC-07</t>
        </is>
      </c>
      <c r="B96" s="26" t="inlineStr">
        <is>
          <t>J</t>
        </is>
      </c>
      <c r="C96" s="26" t="inlineStr">
        <is>
          <t>Security &amp; auth</t>
        </is>
      </c>
      <c r="D96" s="38" t="inlineStr">
        <is>
          <t>P2</t>
        </is>
      </c>
      <c r="E96" s="36" t="inlineStr">
        <is>
          <t>CORS preflight</t>
        </is>
      </c>
      <c r="F96" s="36" t="inlineStr">
        <is>
          <t>curl -i -X OPTIONS /v1/chat/completions -H 'Origin: ...' -H 'Access-Control-Request-Method: POST'</t>
        </is>
      </c>
      <c r="G96" s="36" t="inlineStr">
        <is>
          <t>CORS headers per [cors] allowed_origins (default *); methods incl GET/POST/DELETE/OPTIONS.</t>
        </is>
      </c>
      <c r="H96" s="26" t="inlineStr">
        <is>
          <t>Pass</t>
        </is>
      </c>
      <c r="I96" s="36" t="inlineStr">
        <is>
          <t>CORS preflight OPTIONS -&gt; HTTP 200 (preflight bypasses auth correctly). access-control-allow-methods: GET,POST,DELETE,OPTIONS; access-control-allow-origin reflects Origin (permissive *); access-control-allow-headers content-type,authorization; max-age 3600.</t>
        </is>
      </c>
    </row>
    <row r="97" ht="23.85" customHeight="1" s="20">
      <c r="A97" s="34" t="inlineStr">
        <is>
          <t>CHA-01</t>
        </is>
      </c>
      <c r="B97" s="26" t="inlineStr">
        <is>
          <t>K</t>
        </is>
      </c>
      <c r="C97" s="26" t="inlineStr">
        <is>
          <t>Failure &amp; chaos</t>
        </is>
      </c>
      <c r="D97" s="35" t="inlineStr">
        <is>
          <t>P0</t>
        </is>
      </c>
      <c r="E97" s="36" t="inlineStr">
        <is>
          <t>Crash -&gt; restart w/ backoff</t>
        </is>
      </c>
      <c r="F97" s="36" t="inlineStr">
        <is>
          <t>pkill -f 'llama-server.*8080'</t>
        </is>
      </c>
      <c r="G97" s="36" t="inlineStr">
        <is>
          <t>Detected; server Failed-&gt;Restarting-&gt;Starting-&gt;Running w/ backoff. /api/servers reflects; routing resumes when healthy.</t>
        </is>
      </c>
      <c r="H97" s="26" t="inlineStr">
        <is>
          <t>Pass</t>
        </is>
      </c>
      <c r="I97" s="36" t="inlineStr">
        <is>
          <t>Killed :8081 (Llama3.2-3B) child. Logs show full crash-&gt;restart lifecycle: "Server process exited with code 0" (server.stopped) -&gt; "Server restarting" (reason=crash) -&gt; "Backing off before restart 1" (~12s backoff) -&gt; load_model -&gt; "Upstream still loading (503), within startup grace window" -&gt; "server is listening on :8081". Alias resumed serving (chat -&gt; 200). Dual-kill also showed exponential backoff escalation (restart 1 short, restart 2 longer) and both servers recovered to Running.</t>
        </is>
      </c>
    </row>
    <row r="98" ht="23.85" customHeight="1" s="20">
      <c r="A98" s="34" t="inlineStr">
        <is>
          <t>CHA-02</t>
        </is>
      </c>
      <c r="B98" s="26" t="inlineStr">
        <is>
          <t>K</t>
        </is>
      </c>
      <c r="C98" s="26" t="inlineStr">
        <is>
          <t>Failure &amp; chaos</t>
        </is>
      </c>
      <c r="D98" s="37" t="inlineStr">
        <is>
          <t>P1</t>
        </is>
      </c>
      <c r="E98" s="36" t="inlineStr">
        <is>
          <t>Health-fail handling</t>
        </is>
      </c>
      <c r="F98" s="36" t="inlineStr">
        <is>
          <t>(mock) health_fail_after=N</t>
        </is>
      </c>
      <c r="G98" s="36" t="inlineStr">
        <is>
          <t>Server leaves Running (Failed/Restarting); routing stops; recovery attempted.</t>
        </is>
      </c>
      <c r="H98" s="26" t="inlineStr">
        <is>
          <t>Pass</t>
        </is>
      </c>
      <c r="I98" s="36" t="inlineStr">
        <is>
          <t>mock-llama health_fail_after=3. Logs: "Health check failed with status: 500" x3 (2s poll interval) -&gt; "Server failed health checks 3 times consecutively" -&gt; "Server restarting". Server transitions out of Running and orchestrator attempts recovery (perpetual cycle since health_fail_after resets each restart). Observation: under this rapid fail/restart churn the state machine logs WARN "Illegal state transition from Starting to Restarting" (restart trigger fires before server reaches Running) - separate minor finding, GH #233.</t>
        </is>
      </c>
    </row>
    <row r="99" ht="23.85" customHeight="1" s="20">
      <c r="A99" s="34" t="inlineStr">
        <is>
          <t>CHA-03</t>
        </is>
      </c>
      <c r="B99" s="26" t="inlineStr">
        <is>
          <t>K</t>
        </is>
      </c>
      <c r="C99" s="26" t="inlineStr">
        <is>
          <t>Failure &amp; chaos</t>
        </is>
      </c>
      <c r="D99" s="37" t="inlineStr">
        <is>
          <t>P1</t>
        </is>
      </c>
      <c r="E99" s="36" t="inlineStr">
        <is>
          <t>Warming window -&gt; 503</t>
        </is>
      </c>
      <c r="F99" s="36" t="inlineStr">
        <is>
          <t>Request to Starting server (or startup_503_ms)</t>
        </is>
      </c>
      <c r="G99" s="36" t="inlineStr">
        <is>
          <t>Non-stream ending without terminal stop -&gt; HTTP 503 {error:service_unavailable} + Retry-After (not fake empty 200).</t>
        </is>
      </c>
      <c r="H99" s="26" t="inlineStr">
        <is>
          <t>Pass</t>
        </is>
      </c>
      <c r="I99" s="36" t="inlineStr">
        <is>
          <t>mock-llama startup_503_ms=15000. Request during warming -&gt; HTTP 503 service_unavailable, retry-after: 1, body {"error":"service_unavailable","message":"Backend warming up or unavailable; retry shortly","request_id":...} + x-request-id/x-llamaforge-request-id headers. Matches expected (canonical error model with request_id present).</t>
        </is>
      </c>
    </row>
    <row r="100" ht="23.85" customHeight="1" s="20">
      <c r="A100" s="34" t="inlineStr">
        <is>
          <t>CHA-04</t>
        </is>
      </c>
      <c r="B100" s="26" t="inlineStr">
        <is>
          <t>K</t>
        </is>
      </c>
      <c r="C100" s="26" t="inlineStr">
        <is>
          <t>Failure &amp; chaos</t>
        </is>
      </c>
      <c r="D100" s="37" t="inlineStr">
        <is>
          <t>P1</t>
        </is>
      </c>
      <c r="E100" s="36" t="inlineStr">
        <is>
          <t>Request timeout -&gt; 504</t>
        </is>
      </c>
      <c r="F100" s="36" t="inlineStr">
        <is>
          <t>Backend stalls &gt; queue_default_timeout_secs (lower to ~5s; mock raise chunk delay)</t>
        </is>
      </c>
      <c r="G100" s="36" t="inlineStr">
        <is>
          <t>Non-stream: HTTP 504 {error:timeout}. Stream: SSE closes w/ log openai.sse.upstream_stalled.</t>
        </is>
      </c>
      <c r="H100" s="26" t="inlineStr">
        <is>
          <t>Pass</t>
        </is>
      </c>
      <c r="I100" s="36" t="inlineStr">
        <is>
          <t>mock-llama MockTimeout, MOCK_LLAMA_CHUNK_DELAY_MS=3000 (3 chunks ~9s) &gt; queue_default_timeout_secs=5. Request -&gt; HTTP 504 Gateway Timeout, body {"error":"timeout","message":"Request timed out","request_id":...} + x-request-id headers.</t>
        </is>
      </c>
    </row>
    <row r="101" ht="23.85" customHeight="1" s="20">
      <c r="A101" s="34" t="inlineStr">
        <is>
          <t>CHA-05</t>
        </is>
      </c>
      <c r="B101" s="26" t="inlineStr">
        <is>
          <t>K</t>
        </is>
      </c>
      <c r="C101" s="26" t="inlineStr">
        <is>
          <t>Failure &amp; chaos</t>
        </is>
      </c>
      <c r="D101" s="37" t="inlineStr">
        <is>
          <t>P1</t>
        </is>
      </c>
      <c r="E101" s="36" t="inlineStr">
        <is>
          <t>Cancellation frees slot</t>
        </is>
      </c>
      <c r="F101" s="36" t="inlineStr">
        <is>
          <t>Kill client mid-stream; check /api/queue &amp; slots_busy</t>
        </is>
      </c>
      <c r="G101" s="36" t="inlineStr">
        <is>
          <t>Request cancelled (log Client disconnected...); slot frees; queued work proceeds.</t>
        </is>
      </c>
      <c r="H101" s="26" t="inlineStr">
        <is>
          <t>Pass</t>
        </is>
      </c>
      <c r="I101" s="36" t="inlineStr">
        <is>
          <t>Started long streaming request (max_tokens=800), killed client mid-stream. Cancellation propagated to backend: llama-server logged "stop: cancel task, id_task=20"; slot free (0/2) afterward, queued work can proceed. Orchestrator "Client disconnected, cancelling request" line is debug-level (not shown at log_level=info) but backend task-cancel confirms the path. (mid-stream slots_busy read 0 = /slots poll lag.)</t>
        </is>
      </c>
    </row>
    <row r="102" ht="23.85" customHeight="1" s="20">
      <c r="A102" s="34" t="inlineStr">
        <is>
          <t>CHA-06</t>
        </is>
      </c>
      <c r="B102" s="26" t="inlineStr">
        <is>
          <t>K</t>
        </is>
      </c>
      <c r="C102" s="26" t="inlineStr">
        <is>
          <t>Failure &amp; chaos</t>
        </is>
      </c>
      <c r="D102" s="35" t="inlineStr">
        <is>
          <t>P0</t>
        </is>
      </c>
      <c r="E102" s="36" t="inlineStr">
        <is>
          <t>Graceful shutdown (SIGINT)</t>
        </is>
      </c>
      <c r="F102" s="36" t="inlineStr">
        <is>
          <t>Ctrl-C in terminal 1</t>
        </is>
      </c>
      <c r="G102" s="36" t="inlineStr">
        <is>
          <t>Logs shutdown.started -&gt; transports drain -&gt; shutdown_all -&gt; shutdown.completed; exit 0.</t>
        </is>
      </c>
      <c r="H102" s="26" t="inlineStr">
        <is>
          <t>Pass</t>
        </is>
      </c>
      <c r="I102" s="36" t="inlineStr">
        <is>
          <t>SIGINT (Ctrl-C path; design says SIGINT/SIGTERM share it). Graceful sequence in logs: lifecycle.shutdown.started -&gt; "Shutdown signal received, draining queue" -&gt; "Shutdown requested, draining" x2 (HTTP+gRPC transports) -&gt; lifecycle.shutdown.completed -&gt; "Writer thread received Shutdown command" -&gt; "Shutdown WAL checkpoint (TRUNCATE) complete" -&gt; process exits, children gone. (Literal Ctrl-C earlier also terminated everything cleanly w/ no orphans; its logs were lost to tee dying on the foreground SIGINT - confirmed artifact since kill -INT to the PID produced full logs.)</t>
        </is>
      </c>
    </row>
    <row r="103" ht="15" customHeight="1" s="20">
      <c r="A103" s="34" t="inlineStr">
        <is>
          <t>CHA-07</t>
        </is>
      </c>
      <c r="B103" s="26" t="inlineStr">
        <is>
          <t>K</t>
        </is>
      </c>
      <c r="C103" s="26" t="inlineStr">
        <is>
          <t>Failure &amp; chaos</t>
        </is>
      </c>
      <c r="D103" s="35" t="inlineStr">
        <is>
          <t>P0</t>
        </is>
      </c>
      <c r="E103" s="36" t="inlineStr">
        <is>
          <t>No orphaned children</t>
        </is>
      </c>
      <c r="F103" s="36" t="inlineStr">
        <is>
          <t>After CHA-06: pgrep -fl llama-server</t>
        </is>
      </c>
      <c r="G103" s="36" t="inlineStr">
        <is>
          <t>No llama-server processes remain.</t>
        </is>
      </c>
      <c r="H103" s="26" t="inlineStr">
        <is>
          <t>Pass</t>
        </is>
      </c>
      <c r="I103" s="36" t="inlineStr">
        <is>
          <t>After shutdown, no orphaned llama-server processes (pgrep -x llama-server: none; no process with binary path /usr/local/bin/llama-server). Children (PIDs 78374, 78465) terminated with the orchestrator.</t>
        </is>
      </c>
    </row>
    <row r="104" ht="15" customHeight="1" s="20">
      <c r="A104" s="34" t="inlineStr">
        <is>
          <t>CHA-08</t>
        </is>
      </c>
      <c r="B104" s="26" t="inlineStr">
        <is>
          <t>K</t>
        </is>
      </c>
      <c r="C104" s="26" t="inlineStr">
        <is>
          <t>Failure &amp; chaos</t>
        </is>
      </c>
      <c r="D104" s="37" t="inlineStr">
        <is>
          <t>P1</t>
        </is>
      </c>
      <c r="E104" s="36" t="inlineStr">
        <is>
          <t>SIGTERM also graceful</t>
        </is>
      </c>
      <c r="F104" s="36" t="inlineStr">
        <is>
          <t>kill -TERM &lt;llamaforge-pid&gt;</t>
        </is>
      </c>
      <c r="G104" s="36" t="inlineStr">
        <is>
          <t>Same graceful drain as SIGINT.</t>
        </is>
      </c>
      <c r="H104" s="26" t="inlineStr">
        <is>
          <t>Pass</t>
        </is>
      </c>
      <c r="I104" s="36" t="inlineStr">
        <is>
          <t>SIGTERM (kill -TERM) -&gt; identical graceful sequence to SIGINT: lifecycle.shutdown.started -&gt; draining queue -&gt; "Shutdown requested, draining" x2 -&gt; lifecycle.shutdown.completed -&gt; Writer thread Shutdown -&gt; Shutdown WAL checkpoint (TRUNCATE) complete -&gt; exit, children gone. Confirms SIGTERM and Ctrl-C/SIGINT share the shutdown path per design.</t>
        </is>
      </c>
    </row>
    <row r="105" ht="15" customHeight="1" s="20">
      <c r="A105" s="34" t="inlineStr">
        <is>
          <t>CHA-09</t>
        </is>
      </c>
      <c r="B105" s="26" t="inlineStr">
        <is>
          <t>K</t>
        </is>
      </c>
      <c r="C105" s="26" t="inlineStr">
        <is>
          <t>Failure &amp; chaos</t>
        </is>
      </c>
      <c r="D105" s="38" t="inlineStr">
        <is>
          <t>P2</t>
        </is>
      </c>
      <c r="E105" s="36" t="inlineStr">
        <is>
          <t>Backend 5xx -&gt; 502</t>
        </is>
      </c>
      <c r="F105" s="36" t="inlineStr">
        <is>
          <t>Force backend error on a request</t>
        </is>
      </c>
      <c r="G105" s="36" t="inlineStr">
        <is>
          <t>HTTP 502 {error:backend_error}.</t>
        </is>
      </c>
      <c r="H105" s="26" t="inlineStr">
        <is>
          <t>N/A</t>
        </is>
      </c>
      <c r="I105" s="36" t="inlineStr">
        <is>
          <t>Backend 5xx-on-completion -&gt; 502 not reproducible: mock-llama has no completion-error/5xx injection mode (only health 500 via health_fail_after and startup 503), and a real llama-server will not reliably emit a 5xx on a valid request. The 502 backend_error mapping itself was exercised incidentally in RT-04 (#231) where queue-full wrongly mapped to 502 backend_error. Covered by mock-based unit/integration tests for the error-translation layer.</t>
        </is>
      </c>
    </row>
    <row r="106" ht="15" customHeight="1" s="20">
      <c r="A106" s="34" t="inlineStr">
        <is>
          <t>REL-01</t>
        </is>
      </c>
      <c r="B106" s="26" t="inlineStr">
        <is>
          <t>L</t>
        </is>
      </c>
      <c r="C106" s="26" t="inlineStr">
        <is>
          <t>Config hot-reload</t>
        </is>
      </c>
      <c r="D106" s="35" t="inlineStr">
        <is>
          <t>P0</t>
        </is>
      </c>
      <c r="E106" s="36" t="inlineStr">
        <is>
          <t>SIGHUP hot reload</t>
        </is>
      </c>
      <c r="F106" s="36" t="inlineStr">
        <is>
          <t>Edit alias; kill -HUP &lt;pid&gt;</t>
        </is>
      </c>
      <c r="G106" s="36" t="inlineStr">
        <is>
          <t>Logs reload.signaled -&gt; completed (changes=N). New alias live. No restart.</t>
        </is>
      </c>
      <c r="H106" s="26" t="inlineStr">
        <is>
          <t>Pass</t>
        </is>
      </c>
      <c r="I106" s="36" t="inlineStr">
        <is>
          <t>SIGHUP after editing alias Llama3.2-3B-&gt;Llama3.2-3B-hot: logs lifecycle.config.reload.signaled -&gt; applying -&gt; applied -&gt; completed (changes=1). /v1/models shows Llama3.2-3B-hot live. Orchestrator PID unchanged (no process restart).</t>
        </is>
      </c>
    </row>
    <row r="107" ht="23.85" customHeight="1" s="20">
      <c r="A107" s="34" t="inlineStr">
        <is>
          <t>REL-02</t>
        </is>
      </c>
      <c r="B107" s="26" t="inlineStr">
        <is>
          <t>L</t>
        </is>
      </c>
      <c r="C107" s="26" t="inlineStr">
        <is>
          <t>Config hot-reload</t>
        </is>
      </c>
      <c r="D107" s="35" t="inlineStr">
        <is>
          <t>P0</t>
        </is>
      </c>
      <c r="E107" s="36" t="inlineStr">
        <is>
          <t>SIGHUP restart-required refused</t>
        </is>
      </c>
      <c r="F107" s="36" t="inlineStr">
        <is>
          <t>Edit ctx_size; kill -HUP &lt;pid&gt;</t>
        </is>
      </c>
      <c r="G107" s="36" t="inlineStr">
        <is>
          <t>Logs reload.restart_required (WARN) w/ fields. Change NOT applied; fleet keeps old value.</t>
        </is>
      </c>
      <c r="H107" s="26" t="inlineStr">
        <is>
          <t>Pass</t>
        </is>
      </c>
      <c r="I107" s="36" t="inlineStr">
        <is>
          <t>SIGHUP after editing ctx_size 4096-&gt;8192: logs lifecycle.config.reload.signaled -&gt; lifecycle.config.reload.restart_required WARN with fields=[CtxSize] (offending field named). Child still --ctx-size 4096 (change NOT applied), PID unchanged. Fleet keeps running on old value.</t>
        </is>
      </c>
    </row>
    <row r="108" ht="15" customHeight="1" s="20">
      <c r="A108" s="34" t="inlineStr">
        <is>
          <t>REL-03</t>
        </is>
      </c>
      <c r="B108" s="26" t="inlineStr">
        <is>
          <t>L</t>
        </is>
      </c>
      <c r="C108" s="26" t="inlineStr">
        <is>
          <t>Config hot-reload</t>
        </is>
      </c>
      <c r="D108" s="37" t="inlineStr">
        <is>
          <t>P1</t>
        </is>
      </c>
      <c r="E108" s="36" t="inlineStr">
        <is>
          <t>HTTP reload parity</t>
        </is>
      </c>
      <c r="F108" s="36" t="inlineStr">
        <is>
          <t>Repeat via POST /api/config/reload</t>
        </is>
      </c>
      <c r="G108" s="36" t="inlineStr">
        <is>
          <t>Hot -&gt; 200; restart-required -&gt; 412.</t>
        </is>
      </c>
      <c r="H108" s="26" t="inlineStr">
        <is>
          <t>Pass</t>
        </is>
      </c>
      <c r="I108" s="36" t="inlineStr">
        <is>
          <t>POST /api/config/reload parity. Hot (alias change) -&gt; 200, /v1/models reflects new alias. Restart-required (ctx_size) -&gt; 412 precondition_failed, body "config diff touches restart-required server fields ([CtxSize]); restart the orchestrator to apply" + request_id. Matches MGT-08/09.</t>
        </is>
      </c>
    </row>
    <row r="109" ht="15" customHeight="1" s="20">
      <c r="A109" s="34" t="inlineStr">
        <is>
          <t>REL-04</t>
        </is>
      </c>
      <c r="B109" s="26" t="inlineStr">
        <is>
          <t>L</t>
        </is>
      </c>
      <c r="C109" s="26" t="inlineStr">
        <is>
          <t>Config hot-reload</t>
        </is>
      </c>
      <c r="D109" s="37" t="inlineStr">
        <is>
          <t>P1</t>
        </is>
      </c>
      <c r="E109" s="36" t="inlineStr">
        <is>
          <t>gRPC reload parity</t>
        </is>
      </c>
      <c r="F109" s="36" t="inlineStr">
        <is>
          <t>Repeat via ManagementService/ReloadConfig</t>
        </is>
      </c>
      <c r="G109" s="36" t="inlineStr">
        <is>
          <t>Hot -&gt; success; restart-required -&gt; FAILED_PRECONDITION (9).</t>
        </is>
      </c>
      <c r="H109" s="26" t="inlineStr">
        <is>
          <t>Pass</t>
        </is>
      </c>
      <c r="I109" s="36" t="inlineStr">
        <is>
          <t>gRPC ManagementService/ReloadConfig parity. Hot (alias change) -&gt; success ({}), alias live. Restart-required (ctx_size) -&gt; Code: FailedPrecondition (9), message names [CtxSize] + restart instruction.</t>
        </is>
      </c>
    </row>
    <row r="110" ht="23.85" customHeight="1" s="20">
      <c r="A110" s="34" t="inlineStr">
        <is>
          <t>REL-05</t>
        </is>
      </c>
      <c r="B110" s="26" t="inlineStr">
        <is>
          <t>L</t>
        </is>
      </c>
      <c r="C110" s="26" t="inlineStr">
        <is>
          <t>Config hot-reload</t>
        </is>
      </c>
      <c r="D110" s="38" t="inlineStr">
        <is>
          <t>P2</t>
        </is>
      </c>
      <c r="E110" s="36" t="inlineStr">
        <is>
          <t>Mid-request snapshot stability</t>
        </is>
      </c>
      <c r="F110" s="36" t="inlineStr">
        <is>
          <t>Start long request; hot-reload during it</t>
        </is>
      </c>
      <c r="G110" s="36" t="inlineStr">
        <is>
          <t>In-flight finishes against its start snapshot; new snapshot applies to later requests only.</t>
        </is>
      </c>
      <c r="H110" s="26" t="inlineStr">
        <is>
          <t>Pass</t>
        </is>
      </c>
      <c r="I110" s="36" t="inlineStr">
        <is>
          <t>Started long stream (max_tokens=400) under alias -hot4; hot-reloaded mid-flight (alias-&gt;-hot5, POST reload=200). In-flight stream completed cleanly: 403 chunks, data:[DONE] present, finish_reason=stop, 0 errors. Subsequent /v1/models shows -hot5. In-flight request kept its original config snapshot; new snapshot applies to later requests only (hot-reload contract honored).</t>
        </is>
      </c>
    </row>
    <row r="111" ht="15" customHeight="1" s="20">
      <c r="A111" s="34" t="inlineStr">
        <is>
          <t>REL-06</t>
        </is>
      </c>
      <c r="B111" s="26" t="inlineStr">
        <is>
          <t>L</t>
        </is>
      </c>
      <c r="C111" s="26" t="inlineStr">
        <is>
          <t>Config hot-reload</t>
        </is>
      </c>
      <c r="D111" s="38" t="inlineStr">
        <is>
          <t>P2</t>
        </is>
      </c>
      <c r="E111" s="36" t="inlineStr">
        <is>
          <t>Restart applies restart-required</t>
        </is>
      </c>
      <c r="F111" s="36" t="inlineStr">
        <is>
          <t>After REL-02, stop and restart orchestrator</t>
        </is>
      </c>
      <c r="G111" s="36" t="inlineStr">
        <is>
          <t>Previously-refused ctx_size change takes effect on boot.</t>
        </is>
      </c>
      <c r="H111" s="26" t="inlineStr">
        <is>
          <t>Pass</t>
        </is>
      </c>
      <c r="I111" s="36" t="inlineStr">
        <is>
          <t>After ctx_size 4096-&gt;8192 was refused on hot-reload (REL-02/03/04), restarting the orchestrator applied it: child now spawns with --ctx-size 8192. Restart-required change takes effect on boot.</t>
        </is>
      </c>
    </row>
    <row r="112" ht="23.85" customHeight="1" s="20">
      <c r="A112" s="34" t="inlineStr">
        <is>
          <t>TD-01</t>
        </is>
      </c>
      <c r="B112" s="26" t="inlineStr">
        <is>
          <t>M</t>
        </is>
      </c>
      <c r="C112" s="26" t="inlineStr">
        <is>
          <t>Teardown &amp; maintenance</t>
        </is>
      </c>
      <c r="D112" s="37" t="inlineStr">
        <is>
          <t>P1</t>
        </is>
      </c>
      <c r="E112" s="36" t="inlineStr">
        <is>
          <t>Clean stop -&gt; consistent DB</t>
        </is>
      </c>
      <c r="F112" s="36" t="inlineStr">
        <is>
          <t>Shutdown (CHA-06); sqlite3 llamaforge.db 'pragma integrity_check;'</t>
        </is>
      </c>
      <c r="G112" s="36" t="inlineStr">
        <is>
          <t>'ok'. Session metrics persisted and readable.</t>
        </is>
      </c>
      <c r="H112" s="26" t="inlineStr">
        <is>
          <t>Pass</t>
        </is>
      </c>
      <c r="I112" s="36" t="inlineStr">
        <is>
          <t>After shutdown: sqlite pragma integrity_check -&gt; ok; request_metrics has 70 rows, readable. Session metrics persisted and DB consistent.</t>
        </is>
      </c>
    </row>
    <row r="113" ht="23.85" customHeight="1" s="20">
      <c r="A113" s="34" t="inlineStr">
        <is>
          <t>TD-02</t>
        </is>
      </c>
      <c r="B113" s="26" t="inlineStr">
        <is>
          <t>M</t>
        </is>
      </c>
      <c r="C113" s="26" t="inlineStr">
        <is>
          <t>Teardown &amp; maintenance</t>
        </is>
      </c>
      <c r="D113" s="38" t="inlineStr">
        <is>
          <t>P2</t>
        </is>
      </c>
      <c r="E113" s="36" t="inlineStr">
        <is>
          <t>Lock file lifecycle</t>
        </is>
      </c>
      <c r="F113" s="36" t="inlineStr">
        <is>
          <t>Inspect state_dir for config.lock; second serve same state dir</t>
        </is>
      </c>
      <c r="G113" s="36" t="inlineStr">
        <is>
          <t>Lock exists while running; concurrent writers contend via flock+timeout, no corruption.</t>
        </is>
      </c>
      <c r="H113" s="26" t="inlineStr">
        <is>
          <t>Pass</t>
        </is>
      </c>
      <c r="I113" s="36" t="inlineStr">
        <is>
          <t>Second orchestrator failed fast against running instance. config.lock (0-byte) exists in state dir and mtime updated, but the surfaced error attributes the conflict to "metrics pipeline: Database is locked by another instance" — confusing UX. No corruption. See #222.</t>
        </is>
      </c>
    </row>
    <row r="114" ht="15" customHeight="1" s="20">
      <c r="A114" s="34" t="inlineStr">
        <is>
          <t>TD-03</t>
        </is>
      </c>
      <c r="B114" s="26" t="inlineStr">
        <is>
          <t>M</t>
        </is>
      </c>
      <c r="C114" s="26" t="inlineStr">
        <is>
          <t>Teardown &amp; maintenance</t>
        </is>
      </c>
      <c r="D114" s="38" t="inlineStr">
        <is>
          <t>P2</t>
        </is>
      </c>
      <c r="E114" s="36" t="inlineStr">
        <is>
          <t>Restart resumes cleanly</t>
        </is>
      </c>
      <c r="F114" s="36" t="inlineStr">
        <is>
          <t>Start again after teardown</t>
        </is>
      </c>
      <c r="G114" s="36" t="inlineStr">
        <is>
          <t>Boots normally; prior metrics still queryable.</t>
        </is>
      </c>
      <c r="H114" s="26" t="inlineStr">
        <is>
          <t>Pass</t>
        </is>
      </c>
      <c r="I114" s="36" t="inlineStr">
        <is>
          <t>Restart after teardown boots normally (both servers Running) and prior metrics remain queryable via /api/metrics/requests (returns historical rows across the restart, e.g. REL-05 Llama3.2-3B-hot4 completed, CHA-04 MockTimeout failed).</t>
        </is>
      </c>
    </row>
    <row r="115" ht="15" customHeight="1" s="20">
      <c r="A115" s="34" t="inlineStr">
        <is>
          <t>TD-04</t>
        </is>
      </c>
      <c r="B115" s="26" t="inlineStr">
        <is>
          <t>M</t>
        </is>
      </c>
      <c r="C115" s="26" t="inlineStr">
        <is>
          <t>Teardown &amp; maintenance</t>
        </is>
      </c>
      <c r="D115" s="38" t="inlineStr">
        <is>
          <t>P2</t>
        </is>
      </c>
      <c r="E115" s="36" t="inlineStr">
        <is>
          <t>WAL growth controlled</t>
        </is>
      </c>
      <c r="F115" s="36" t="inlineStr">
        <is>
          <t>After heavy traffic run MGT-13 (truncate)</t>
        </is>
      </c>
      <c r="G115" s="36" t="inlineStr">
        <is>
          <t>WAL shrinks; DB consistent.</t>
        </is>
      </c>
      <c r="H115" s="26" t="inlineStr">
        <is>
          <t>Pass</t>
        </is>
      </c>
      <c r="I115" s="36" t="inlineStr">
        <is>
          <t>Covered by MGT-13 (POST /api/maintenance/wal-checkpoint?mode=truncate shrank llamaforge.db-wal 129K-&gt;0 bytes, DB consistent). WAL growth is bounded by the truncate checkpoint.</t>
        </is>
      </c>
    </row>
  </sheetData>
  <autoFilter ref="A1:I115"/>
  <conditionalFormatting sqref="H2:H115">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fRule type="cellIs" rank="0" priority="5" equalAverage="0" operator="equal" aboveAverage="0" dxfId="11" text="" percent="0" bottom="0">
      <formula>"N/A"</formula>
    </cfRule>
    <cfRule type="cellIs" rank="0" priority="6" equalAverage="0" operator="equal" aboveAverage="0" dxfId="12" text="" percent="0" bottom="0">
      <formula>"Not Run"</formula>
    </cfRule>
  </conditionalFormatting>
  <dataValidations count="1">
    <dataValidation sqref="H2:H115" showDropDown="0" showInputMessage="0" showErrorMessage="0" allowBlank="0" type="list" errorStyle="stop" operator="between">
      <formula1>"Not Run,Pass,Fail,Blocked,N/A"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2026-05-26T05:02:48Z</dcterms:created>
  <dcterms:modified xmlns:dcterms="http://purl.org/dc/terms/" xmlns:xsi="http://www.w3.org/2001/XMLSchema-instance" xsi:type="dcterms:W3CDTF">2026-05-28T01:39:55Z</dcterms:modified>
  <cp:revision>0</cp:revision>
</cp:coreProperties>
</file>